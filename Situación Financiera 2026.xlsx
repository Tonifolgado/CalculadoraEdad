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ntonioalvarezfolgado/Folgado22/AI/CalculadoraEdad/"/>
    </mc:Choice>
  </mc:AlternateContent>
  <xr:revisionPtr revIDLastSave="0" documentId="13_ncr:1_{4AC8084C-FA88-BA4D-A607-0B1CD4F21353}" xr6:coauthVersionLast="47" xr6:coauthVersionMax="47" xr10:uidLastSave="{00000000-0000-0000-0000-000000000000}"/>
  <bookViews>
    <workbookView xWindow="12460" yWindow="2580" windowWidth="32240" windowHeight="21100" tabRatio="617" activeTab="7" xr2:uid="{00000000-000D-0000-FFFF-FFFF00000000}"/>
  </bookViews>
  <sheets>
    <sheet name="Dashboard" sheetId="1" r:id="rId1"/>
    <sheet name="Info" sheetId="2" r:id="rId2"/>
    <sheet name="Historico" sheetId="3" r:id="rId3"/>
    <sheet name="WIP" sheetId="4" r:id="rId4"/>
    <sheet name="Principal" sheetId="5" r:id="rId5"/>
    <sheet name="Graficos" sheetId="6" r:id="rId6"/>
    <sheet name="Ordenes" sheetId="7" r:id="rId7"/>
    <sheet name="Inversiones" sheetId="8" r:id="rId8"/>
    <sheet name="Dividendo" sheetId="9" r:id="rId9"/>
    <sheet name="CandidatosInv" sheetId="10" r:id="rId10"/>
    <sheet name="VidaLaboral" sheetId="11" r:id="rId11"/>
    <sheet name="Jubilacion" sheetId="12" r:id="rId12"/>
    <sheet name="IngGas10-20" sheetId="13" r:id="rId13"/>
    <sheet name="Análisis" sheetId="14" r:id="rId14"/>
    <sheet name="Nomina" sheetId="15" r:id="rId15"/>
    <sheet name="GrandesCompras" sheetId="16" r:id="rId16"/>
    <sheet name="LaCasaFutura" sheetId="17" r:id="rId17"/>
    <sheet name="Borrador" sheetId="18" r:id="rId18"/>
  </sheets>
  <definedNames>
    <definedName name="_xlnm._FilterDatabase" localSheetId="9" hidden="1">CandidatosInv!$B$5:$L$58</definedName>
    <definedName name="_xlnm._FilterDatabase" localSheetId="6" hidden="1">Ordenes!$B$4:$K$4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7" l="1"/>
  <c r="K20" i="7" s="1"/>
  <c r="I21" i="7"/>
  <c r="K21" i="7" s="1"/>
  <c r="I22" i="7"/>
  <c r="K22" i="7" s="1"/>
  <c r="I23" i="7"/>
  <c r="K23" i="7" s="1"/>
  <c r="I24" i="7"/>
  <c r="K24" i="7" s="1"/>
  <c r="I25" i="7"/>
  <c r="K25" i="7" s="1"/>
  <c r="O94" i="6"/>
  <c r="O93" i="6"/>
  <c r="O92" i="6"/>
  <c r="E90" i="3"/>
  <c r="J19" i="17"/>
  <c r="H19" i="17"/>
  <c r="H23" i="17" s="1"/>
  <c r="H24" i="17" s="1"/>
  <c r="H25" i="17" s="1"/>
  <c r="H8" i="17"/>
  <c r="H12" i="17" s="1"/>
  <c r="H13" i="17" s="1"/>
  <c r="H14" i="17" s="1"/>
  <c r="D65" i="16"/>
  <c r="H93" i="15"/>
  <c r="G95" i="15" s="1"/>
  <c r="H92" i="15"/>
  <c r="F89" i="15"/>
  <c r="F88" i="15"/>
  <c r="F87" i="15"/>
  <c r="F86" i="15"/>
  <c r="C80" i="15"/>
  <c r="F73" i="15"/>
  <c r="H73" i="15" s="1"/>
  <c r="F72" i="15"/>
  <c r="F71" i="15"/>
  <c r="F70" i="15"/>
  <c r="F69" i="15"/>
  <c r="F56" i="15"/>
  <c r="F55" i="15"/>
  <c r="H57" i="15" s="1"/>
  <c r="F54" i="15"/>
  <c r="F53" i="15"/>
  <c r="F40" i="15"/>
  <c r="F39" i="15"/>
  <c r="F38" i="15"/>
  <c r="F37" i="15"/>
  <c r="H41" i="15" s="1"/>
  <c r="H25" i="15"/>
  <c r="H24" i="15"/>
  <c r="F24" i="15"/>
  <c r="F23" i="15"/>
  <c r="F22" i="15"/>
  <c r="F21" i="15"/>
  <c r="F8" i="15"/>
  <c r="F7" i="15"/>
  <c r="F6" i="15"/>
  <c r="H9" i="15" s="1"/>
  <c r="F5" i="15"/>
  <c r="C311" i="14"/>
  <c r="D298" i="14"/>
  <c r="D297" i="14"/>
  <c r="E297" i="14" s="1"/>
  <c r="D294" i="14"/>
  <c r="E294" i="14" s="1"/>
  <c r="D293" i="14"/>
  <c r="E293" i="14" s="1"/>
  <c r="D271" i="14"/>
  <c r="D273" i="14" s="1"/>
  <c r="D279" i="14" s="1"/>
  <c r="D284" i="14" s="1"/>
  <c r="D257" i="14"/>
  <c r="D255" i="14"/>
  <c r="E251" i="14"/>
  <c r="G251" i="14" s="1"/>
  <c r="H251" i="14" s="1"/>
  <c r="I251" i="14" s="1"/>
  <c r="G250" i="14"/>
  <c r="H250" i="14" s="1"/>
  <c r="I250" i="14" s="1"/>
  <c r="E250" i="14"/>
  <c r="E249" i="14"/>
  <c r="G249" i="14" s="1"/>
  <c r="H249" i="14" s="1"/>
  <c r="I249" i="14" s="1"/>
  <c r="I248" i="14"/>
  <c r="H248" i="14"/>
  <c r="G248" i="14"/>
  <c r="E248" i="14"/>
  <c r="E247" i="14"/>
  <c r="G247" i="14" s="1"/>
  <c r="H247" i="14" s="1"/>
  <c r="I247" i="14" s="1"/>
  <c r="E246" i="14"/>
  <c r="G246" i="14" s="1"/>
  <c r="H246" i="14" s="1"/>
  <c r="I246" i="14" s="1"/>
  <c r="E245" i="14"/>
  <c r="G245" i="14" s="1"/>
  <c r="H245" i="14" s="1"/>
  <c r="I245" i="14" s="1"/>
  <c r="I244" i="14"/>
  <c r="H244" i="14"/>
  <c r="G244" i="14"/>
  <c r="E244" i="14"/>
  <c r="G243" i="14"/>
  <c r="H243" i="14" s="1"/>
  <c r="I243" i="14" s="1"/>
  <c r="E243" i="14"/>
  <c r="E242" i="14"/>
  <c r="G242" i="14" s="1"/>
  <c r="H242" i="14" s="1"/>
  <c r="I242" i="14" s="1"/>
  <c r="G241" i="14"/>
  <c r="H241" i="14" s="1"/>
  <c r="I241" i="14" s="1"/>
  <c r="E241" i="14"/>
  <c r="E240" i="14"/>
  <c r="G240" i="14" s="1"/>
  <c r="H240" i="14" s="1"/>
  <c r="I240" i="14" s="1"/>
  <c r="E239" i="14"/>
  <c r="G239" i="14" s="1"/>
  <c r="H239" i="14" s="1"/>
  <c r="I239" i="14" s="1"/>
  <c r="G238" i="14"/>
  <c r="H238" i="14" s="1"/>
  <c r="I238" i="14" s="1"/>
  <c r="E238" i="14"/>
  <c r="H237" i="14"/>
  <c r="I237" i="14" s="1"/>
  <c r="G237" i="14"/>
  <c r="E237" i="14"/>
  <c r="E236" i="14"/>
  <c r="G236" i="14" s="1"/>
  <c r="H236" i="14" s="1"/>
  <c r="I236" i="14" s="1"/>
  <c r="G235" i="14"/>
  <c r="H235" i="14" s="1"/>
  <c r="I235" i="14" s="1"/>
  <c r="E235" i="14"/>
  <c r="E234" i="14"/>
  <c r="G234" i="14" s="1"/>
  <c r="H234" i="14" s="1"/>
  <c r="I234" i="14" s="1"/>
  <c r="I233" i="14"/>
  <c r="H233" i="14"/>
  <c r="G233" i="14"/>
  <c r="E233" i="14"/>
  <c r="E232" i="14"/>
  <c r="G232" i="14" s="1"/>
  <c r="H232" i="14" s="1"/>
  <c r="I232" i="14" s="1"/>
  <c r="E231" i="14"/>
  <c r="G231" i="14" s="1"/>
  <c r="H231" i="14" s="1"/>
  <c r="I231" i="14" s="1"/>
  <c r="E230" i="14"/>
  <c r="G230" i="14" s="1"/>
  <c r="H230" i="14" s="1"/>
  <c r="I230" i="14" s="1"/>
  <c r="I229" i="14"/>
  <c r="H229" i="14"/>
  <c r="G229" i="14"/>
  <c r="E229" i="14"/>
  <c r="G228" i="14"/>
  <c r="H228" i="14" s="1"/>
  <c r="I228" i="14" s="1"/>
  <c r="E228" i="14"/>
  <c r="E227" i="14"/>
  <c r="G227" i="14" s="1"/>
  <c r="H227" i="14" s="1"/>
  <c r="I227" i="14" s="1"/>
  <c r="G226" i="14"/>
  <c r="H226" i="14" s="1"/>
  <c r="I226" i="14" s="1"/>
  <c r="E226" i="14"/>
  <c r="E225" i="14"/>
  <c r="G225" i="14" s="1"/>
  <c r="H225" i="14" s="1"/>
  <c r="I225" i="14" s="1"/>
  <c r="E224" i="14"/>
  <c r="G224" i="14" s="1"/>
  <c r="H224" i="14" s="1"/>
  <c r="I224" i="14" s="1"/>
  <c r="G223" i="14"/>
  <c r="H223" i="14" s="1"/>
  <c r="I223" i="14" s="1"/>
  <c r="E223" i="14"/>
  <c r="H222" i="14"/>
  <c r="I222" i="14" s="1"/>
  <c r="G222" i="14"/>
  <c r="E222" i="14"/>
  <c r="E221" i="14"/>
  <c r="G221" i="14" s="1"/>
  <c r="H221" i="14" s="1"/>
  <c r="I221" i="14" s="1"/>
  <c r="D216" i="14"/>
  <c r="G215" i="14"/>
  <c r="F215" i="14"/>
  <c r="I215" i="14" s="1"/>
  <c r="E215" i="14"/>
  <c r="D215" i="14"/>
  <c r="D214" i="14"/>
  <c r="E214" i="14" s="1"/>
  <c r="F214" i="14" s="1"/>
  <c r="D213" i="14"/>
  <c r="D206" i="14"/>
  <c r="D205" i="14"/>
  <c r="G204" i="14"/>
  <c r="F204" i="14"/>
  <c r="I204" i="14" s="1"/>
  <c r="E204" i="14"/>
  <c r="D204" i="14"/>
  <c r="D197" i="14"/>
  <c r="E197" i="14" s="1"/>
  <c r="F197" i="14" s="1"/>
  <c r="D196" i="14"/>
  <c r="D195" i="14"/>
  <c r="D194" i="14"/>
  <c r="G193" i="14"/>
  <c r="F193" i="14"/>
  <c r="I193" i="14" s="1"/>
  <c r="E193" i="14"/>
  <c r="D193" i="14"/>
  <c r="D192" i="14"/>
  <c r="E192" i="14" s="1"/>
  <c r="F192" i="14" s="1"/>
  <c r="D191" i="14"/>
  <c r="D187" i="14"/>
  <c r="D186" i="14"/>
  <c r="G185" i="14"/>
  <c r="F185" i="14"/>
  <c r="I185" i="14" s="1"/>
  <c r="E185" i="14"/>
  <c r="D185" i="14"/>
  <c r="D184" i="14"/>
  <c r="E184" i="14" s="1"/>
  <c r="F184" i="14" s="1"/>
  <c r="D183" i="14"/>
  <c r="D182" i="14"/>
  <c r="D181" i="14"/>
  <c r="L165" i="14"/>
  <c r="L166" i="14" s="1"/>
  <c r="L169" i="14" s="1"/>
  <c r="K165" i="14"/>
  <c r="J165" i="14"/>
  <c r="J166" i="14" s="1"/>
  <c r="J169" i="14" s="1"/>
  <c r="F165" i="14"/>
  <c r="M164" i="14"/>
  <c r="L164" i="14"/>
  <c r="K164" i="14"/>
  <c r="K166" i="14" s="1"/>
  <c r="K169" i="14" s="1"/>
  <c r="J164" i="14"/>
  <c r="I164" i="14"/>
  <c r="H164" i="14"/>
  <c r="G164" i="14"/>
  <c r="G165" i="14" s="1"/>
  <c r="G166" i="14" s="1"/>
  <c r="G169" i="14" s="1"/>
  <c r="F164" i="14"/>
  <c r="F166" i="14" s="1"/>
  <c r="F169" i="14" s="1"/>
  <c r="E156" i="14"/>
  <c r="D156" i="14"/>
  <c r="E155" i="14"/>
  <c r="D155" i="14"/>
  <c r="E154" i="14"/>
  <c r="D154" i="14"/>
  <c r="I131" i="14"/>
  <c r="G131" i="14"/>
  <c r="I130" i="14"/>
  <c r="G130" i="14"/>
  <c r="F130" i="14"/>
  <c r="I129" i="14"/>
  <c r="G129" i="14"/>
  <c r="F129" i="14"/>
  <c r="I127" i="14"/>
  <c r="G127" i="14"/>
  <c r="I126" i="14"/>
  <c r="G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H106" i="14"/>
  <c r="D98" i="14"/>
  <c r="D106" i="14" s="1"/>
  <c r="D97" i="14"/>
  <c r="M91" i="14"/>
  <c r="M90" i="14"/>
  <c r="K90" i="14"/>
  <c r="K91" i="14" s="1"/>
  <c r="H90" i="14"/>
  <c r="H91" i="14" s="1"/>
  <c r="G90" i="14"/>
  <c r="G91" i="14" s="1"/>
  <c r="M86" i="14"/>
  <c r="L86" i="14"/>
  <c r="L90" i="14" s="1"/>
  <c r="L91" i="14" s="1"/>
  <c r="K86" i="14"/>
  <c r="J86" i="14"/>
  <c r="J90" i="14" s="1"/>
  <c r="J91" i="14" s="1"/>
  <c r="I86" i="14"/>
  <c r="I90" i="14" s="1"/>
  <c r="I91" i="14" s="1"/>
  <c r="H86" i="14"/>
  <c r="G86" i="14"/>
  <c r="F86" i="14"/>
  <c r="F90" i="14" s="1"/>
  <c r="F91" i="14" s="1"/>
  <c r="E86" i="14"/>
  <c r="E90" i="14" s="1"/>
  <c r="E91" i="14" s="1"/>
  <c r="D86" i="14"/>
  <c r="D90" i="14" s="1"/>
  <c r="D91" i="14" s="1"/>
  <c r="L61" i="14"/>
  <c r="L65" i="14" s="1"/>
  <c r="L66" i="14" s="1"/>
  <c r="H61" i="14"/>
  <c r="H65" i="14" s="1"/>
  <c r="H66" i="14" s="1"/>
  <c r="D61" i="14"/>
  <c r="D65" i="14" s="1"/>
  <c r="D66" i="14" s="1"/>
  <c r="D37" i="14"/>
  <c r="L36" i="14"/>
  <c r="H35" i="14"/>
  <c r="H36" i="14" s="1"/>
  <c r="D35" i="14"/>
  <c r="I34" i="14"/>
  <c r="G34" i="14"/>
  <c r="I33" i="14"/>
  <c r="G33" i="14"/>
  <c r="F33" i="14"/>
  <c r="F34" i="14" s="1"/>
  <c r="C12" i="14"/>
  <c r="D36" i="14" s="1"/>
  <c r="E203" i="13"/>
  <c r="D203" i="13"/>
  <c r="F175" i="13"/>
  <c r="F174" i="13"/>
  <c r="F173" i="13"/>
  <c r="F172" i="13"/>
  <c r="F171" i="13"/>
  <c r="F170" i="13"/>
  <c r="F169" i="13"/>
  <c r="F168" i="13"/>
  <c r="F167" i="13"/>
  <c r="F166" i="13"/>
  <c r="F165" i="13"/>
  <c r="F164" i="13"/>
  <c r="G175" i="13" s="1"/>
  <c r="F151" i="13"/>
  <c r="F150" i="13"/>
  <c r="F149" i="13"/>
  <c r="F148" i="13"/>
  <c r="F147" i="13"/>
  <c r="F146" i="13"/>
  <c r="F145" i="13"/>
  <c r="F144" i="13"/>
  <c r="F143" i="13"/>
  <c r="F142" i="13"/>
  <c r="G151" i="13" s="1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G139" i="13" s="1"/>
  <c r="F127" i="13"/>
  <c r="F126" i="13"/>
  <c r="F125" i="13"/>
  <c r="F124" i="13"/>
  <c r="F123" i="13"/>
  <c r="F122" i="13"/>
  <c r="F121" i="13"/>
  <c r="F120" i="13"/>
  <c r="F119" i="13"/>
  <c r="F118" i="13"/>
  <c r="F117" i="13"/>
  <c r="G127" i="13" s="1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G115" i="13" s="1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G103" i="13" s="1"/>
  <c r="F91" i="13"/>
  <c r="F90" i="13"/>
  <c r="F89" i="13"/>
  <c r="F88" i="13"/>
  <c r="F87" i="13"/>
  <c r="F86" i="13"/>
  <c r="F85" i="13"/>
  <c r="F84" i="13"/>
  <c r="F83" i="13"/>
  <c r="F82" i="13"/>
  <c r="F81" i="13"/>
  <c r="F80" i="13"/>
  <c r="G91" i="13" s="1"/>
  <c r="F79" i="13"/>
  <c r="F78" i="13"/>
  <c r="F77" i="13"/>
  <c r="F76" i="13"/>
  <c r="F75" i="13"/>
  <c r="F74" i="13"/>
  <c r="F73" i="13"/>
  <c r="F72" i="13"/>
  <c r="F71" i="13"/>
  <c r="F70" i="13"/>
  <c r="F69" i="13"/>
  <c r="F68" i="13"/>
  <c r="G79" i="13" s="1"/>
  <c r="F67" i="13"/>
  <c r="F66" i="13"/>
  <c r="F65" i="13"/>
  <c r="F64" i="13"/>
  <c r="F63" i="13"/>
  <c r="F62" i="13"/>
  <c r="F61" i="13"/>
  <c r="F60" i="13"/>
  <c r="F59" i="13"/>
  <c r="G67" i="13" s="1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G55" i="13" s="1"/>
  <c r="F44" i="13"/>
  <c r="F43" i="13"/>
  <c r="F42" i="13"/>
  <c r="F41" i="13"/>
  <c r="F40" i="13"/>
  <c r="F39" i="13"/>
  <c r="F38" i="13"/>
  <c r="F37" i="13"/>
  <c r="F36" i="13"/>
  <c r="F35" i="13"/>
  <c r="F34" i="13"/>
  <c r="G43" i="13" s="1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G31" i="13" s="1"/>
  <c r="F19" i="13"/>
  <c r="F18" i="13"/>
  <c r="F17" i="13"/>
  <c r="F16" i="13"/>
  <c r="F15" i="13"/>
  <c r="F14" i="13"/>
  <c r="F13" i="13"/>
  <c r="F12" i="13"/>
  <c r="F11" i="13"/>
  <c r="F10" i="13"/>
  <c r="F9" i="13"/>
  <c r="F203" i="13" s="1"/>
  <c r="F8" i="13"/>
  <c r="G19" i="13" s="1"/>
  <c r="G203" i="13" s="1"/>
  <c r="K41" i="11"/>
  <c r="J41" i="11"/>
  <c r="I41" i="11"/>
  <c r="I40" i="11"/>
  <c r="K39" i="11"/>
  <c r="J39" i="11"/>
  <c r="I39" i="11"/>
  <c r="I38" i="11"/>
  <c r="K37" i="11"/>
  <c r="J37" i="11"/>
  <c r="I37" i="11"/>
  <c r="I36" i="11"/>
  <c r="K35" i="11"/>
  <c r="J35" i="11"/>
  <c r="I35" i="11"/>
  <c r="I34" i="11"/>
  <c r="K33" i="11"/>
  <c r="J33" i="11"/>
  <c r="I33" i="11"/>
  <c r="K32" i="11"/>
  <c r="J32" i="11"/>
  <c r="I32" i="11"/>
  <c r="K31" i="11"/>
  <c r="J31" i="11"/>
  <c r="I31" i="11"/>
  <c r="K30" i="11"/>
  <c r="J30" i="11"/>
  <c r="I30" i="11"/>
  <c r="K29" i="11"/>
  <c r="J29" i="11"/>
  <c r="I29" i="11"/>
  <c r="I28" i="11"/>
  <c r="K27" i="11"/>
  <c r="J27" i="11"/>
  <c r="I27" i="11"/>
  <c r="K26" i="11"/>
  <c r="J26" i="11"/>
  <c r="I26" i="11"/>
  <c r="K25" i="11"/>
  <c r="J25" i="11"/>
  <c r="I25" i="11"/>
  <c r="K24" i="11"/>
  <c r="J24" i="11"/>
  <c r="I24" i="11"/>
  <c r="K23" i="11"/>
  <c r="J23" i="11"/>
  <c r="I23" i="11"/>
  <c r="K22" i="11"/>
  <c r="J22" i="11"/>
  <c r="I22" i="11"/>
  <c r="I21" i="11"/>
  <c r="K20" i="11"/>
  <c r="J20" i="11"/>
  <c r="I20" i="11"/>
  <c r="K19" i="11"/>
  <c r="J19" i="11"/>
  <c r="I19" i="11"/>
  <c r="I18" i="11"/>
  <c r="K17" i="11"/>
  <c r="J17" i="11"/>
  <c r="I17" i="11"/>
  <c r="K16" i="11"/>
  <c r="J16" i="11"/>
  <c r="I16" i="11"/>
  <c r="K15" i="11"/>
  <c r="J15" i="11"/>
  <c r="I15" i="11"/>
  <c r="K14" i="11"/>
  <c r="J14" i="11"/>
  <c r="I14" i="11"/>
  <c r="K13" i="11"/>
  <c r="J13" i="11"/>
  <c r="I13" i="11"/>
  <c r="I12" i="11"/>
  <c r="I11" i="11"/>
  <c r="I10" i="11"/>
  <c r="I9" i="11"/>
  <c r="I8" i="11"/>
  <c r="I7" i="11"/>
  <c r="I6" i="11"/>
  <c r="I5" i="11"/>
  <c r="I4" i="11"/>
  <c r="H4" i="11" s="1"/>
  <c r="H43" i="11" s="1"/>
  <c r="F70" i="10" a="1"/>
  <c r="F70" i="10" s="1"/>
  <c r="E70" i="10" a="1"/>
  <c r="E70" i="10" s="1"/>
  <c r="F69" i="10" a="1"/>
  <c r="F69" i="10" s="1"/>
  <c r="E69" i="10" a="1"/>
  <c r="E69" i="10" s="1"/>
  <c r="F68" i="10" a="1"/>
  <c r="F68" i="10" s="1"/>
  <c r="E68" i="10" a="1"/>
  <c r="E68" i="10" s="1"/>
  <c r="F67" i="10" a="1"/>
  <c r="F67" i="10" s="1"/>
  <c r="E67" i="10" a="1"/>
  <c r="E67" i="10" s="1"/>
  <c r="F66" i="10" a="1"/>
  <c r="F66" i="10"/>
  <c r="E66" i="10" a="1"/>
  <c r="E66" i="10"/>
  <c r="F65" i="10" a="1"/>
  <c r="F65" i="10"/>
  <c r="E65" i="10" a="1"/>
  <c r="E65" i="10" s="1"/>
  <c r="F64" i="10" a="1"/>
  <c r="F64" i="10" s="1"/>
  <c r="E64" i="10" a="1"/>
  <c r="E64" i="10" s="1"/>
  <c r="F63" i="10" a="1"/>
  <c r="F63" i="10"/>
  <c r="E63" i="10" a="1"/>
  <c r="E63" i="10" s="1"/>
  <c r="L59" i="10"/>
  <c r="V158" i="9"/>
  <c r="U158" i="9"/>
  <c r="T158" i="9"/>
  <c r="S158" i="9"/>
  <c r="Q158" i="9"/>
  <c r="P158" i="9"/>
  <c r="O158" i="9"/>
  <c r="N158" i="9"/>
  <c r="K158" i="9"/>
  <c r="J158" i="9"/>
  <c r="I158" i="9"/>
  <c r="H158" i="9"/>
  <c r="G158" i="9" s="1"/>
  <c r="W156" i="9"/>
  <c r="G156" i="9"/>
  <c r="E156" i="9"/>
  <c r="F156" i="9" s="1" a="1"/>
  <c r="F156" i="9" s="1"/>
  <c r="W155" i="9"/>
  <c r="G155" i="9"/>
  <c r="E155" i="9"/>
  <c r="F155" i="9" s="1" a="1"/>
  <c r="F155" i="9" s="1"/>
  <c r="W154" i="9"/>
  <c r="G154" i="9"/>
  <c r="E154" i="9"/>
  <c r="F154" i="9" s="1" a="1"/>
  <c r="F154" i="9" s="1"/>
  <c r="W153" i="9"/>
  <c r="G153" i="9"/>
  <c r="F153" i="9" a="1"/>
  <c r="F153" i="9" s="1"/>
  <c r="E153" i="9"/>
  <c r="W152" i="9"/>
  <c r="G152" i="9"/>
  <c r="E152" i="9"/>
  <c r="F152" i="9" s="1" a="1"/>
  <c r="F152" i="9" s="1"/>
  <c r="W151" i="9"/>
  <c r="G151" i="9"/>
  <c r="G159" i="9" s="1"/>
  <c r="E151" i="9"/>
  <c r="F151" i="9" s="1" a="1"/>
  <c r="F151" i="9" s="1"/>
  <c r="W150" i="9"/>
  <c r="G150" i="9"/>
  <c r="E150" i="9"/>
  <c r="W149" i="9"/>
  <c r="G149" i="9"/>
  <c r="F149" i="9" a="1"/>
  <c r="F149" i="9" s="1"/>
  <c r="E149" i="9"/>
  <c r="W148" i="9"/>
  <c r="G148" i="9"/>
  <c r="E148" i="9"/>
  <c r="F148" i="9" s="1" a="1"/>
  <c r="F148" i="9" s="1"/>
  <c r="W147" i="9"/>
  <c r="G147" i="9"/>
  <c r="F147" i="9" a="1"/>
  <c r="F147" i="9"/>
  <c r="E147" i="9"/>
  <c r="W146" i="9"/>
  <c r="G146" i="9"/>
  <c r="F146" i="9" a="1"/>
  <c r="F146" i="9"/>
  <c r="E146" i="9"/>
  <c r="W145" i="9"/>
  <c r="G145" i="9"/>
  <c r="F145" i="9" a="1"/>
  <c r="F145" i="9" s="1"/>
  <c r="E145" i="9"/>
  <c r="W144" i="9"/>
  <c r="G144" i="9"/>
  <c r="F144" i="9" a="1"/>
  <c r="F144" i="9" s="1"/>
  <c r="E144" i="9"/>
  <c r="W143" i="9"/>
  <c r="G143" i="9"/>
  <c r="E143" i="9"/>
  <c r="F143" i="9" s="1" a="1"/>
  <c r="F143" i="9" s="1"/>
  <c r="W142" i="9"/>
  <c r="G142" i="9"/>
  <c r="F142" i="9" a="1"/>
  <c r="F142" i="9"/>
  <c r="E142" i="9"/>
  <c r="W141" i="9"/>
  <c r="G141" i="9"/>
  <c r="F141" i="9" a="1"/>
  <c r="F141" i="9" s="1"/>
  <c r="E141" i="9"/>
  <c r="W140" i="9"/>
  <c r="G140" i="9"/>
  <c r="F140" i="9" a="1"/>
  <c r="F140" i="9" s="1"/>
  <c r="E140" i="9"/>
  <c r="W139" i="9"/>
  <c r="G139" i="9"/>
  <c r="E139" i="9"/>
  <c r="W138" i="9"/>
  <c r="G138" i="9"/>
  <c r="R30" i="9" s="1"/>
  <c r="F138" i="9" a="1"/>
  <c r="F138" i="9" s="1"/>
  <c r="E138" i="9"/>
  <c r="W137" i="9"/>
  <c r="G137" i="9"/>
  <c r="E137" i="9"/>
  <c r="F137" i="9" s="1" a="1"/>
  <c r="F137" i="9" s="1"/>
  <c r="W136" i="9"/>
  <c r="W158" i="9" s="1"/>
  <c r="G136" i="9"/>
  <c r="E136" i="9"/>
  <c r="F136" i="9" s="1" a="1"/>
  <c r="F136" i="9" s="1"/>
  <c r="V128" i="9"/>
  <c r="U128" i="9"/>
  <c r="T128" i="9"/>
  <c r="S128" i="9"/>
  <c r="Q128" i="9"/>
  <c r="P128" i="9"/>
  <c r="O128" i="9"/>
  <c r="N128" i="9"/>
  <c r="K128" i="9"/>
  <c r="G128" i="9" s="1"/>
  <c r="J128" i="9"/>
  <c r="I128" i="9"/>
  <c r="H128" i="9"/>
  <c r="W126" i="9"/>
  <c r="G126" i="9"/>
  <c r="F126" i="9" a="1"/>
  <c r="F126" i="9"/>
  <c r="E126" i="9"/>
  <c r="W125" i="9"/>
  <c r="G125" i="9"/>
  <c r="E125" i="9"/>
  <c r="F125" i="9" s="1" a="1"/>
  <c r="F125" i="9" s="1"/>
  <c r="W124" i="9"/>
  <c r="G124" i="9"/>
  <c r="E124" i="9"/>
  <c r="F124" i="9" s="1" a="1"/>
  <c r="F124" i="9" s="1"/>
  <c r="W123" i="9"/>
  <c r="G123" i="9"/>
  <c r="E123" i="9"/>
  <c r="F123" i="9" s="1" a="1"/>
  <c r="F123" i="9" s="1"/>
  <c r="W122" i="9"/>
  <c r="G122" i="9"/>
  <c r="E122" i="9"/>
  <c r="F122" i="9" s="1" a="1"/>
  <c r="F122" i="9" s="1"/>
  <c r="W121" i="9"/>
  <c r="G121" i="9"/>
  <c r="G129" i="9" s="1"/>
  <c r="F121" i="9" a="1"/>
  <c r="F121" i="9" s="1"/>
  <c r="E121" i="9"/>
  <c r="W120" i="9"/>
  <c r="G120" i="9"/>
  <c r="W119" i="9"/>
  <c r="G119" i="9"/>
  <c r="F119" i="9" a="1"/>
  <c r="F119" i="9" s="1"/>
  <c r="W118" i="9"/>
  <c r="G118" i="9"/>
  <c r="E118" i="9"/>
  <c r="F118" i="9" s="1" a="1"/>
  <c r="F118" i="9" s="1"/>
  <c r="W117" i="9"/>
  <c r="G117" i="9"/>
  <c r="E117" i="9"/>
  <c r="F117" i="9" s="1" a="1"/>
  <c r="F117" i="9" s="1"/>
  <c r="W116" i="9"/>
  <c r="G116" i="9"/>
  <c r="F116" i="9" a="1"/>
  <c r="F116" i="9" s="1"/>
  <c r="E116" i="9"/>
  <c r="W115" i="9"/>
  <c r="G115" i="9"/>
  <c r="Q21" i="9" s="1"/>
  <c r="E115" i="9"/>
  <c r="F115" i="9" s="1" a="1"/>
  <c r="F115" i="9" s="1"/>
  <c r="W114" i="9"/>
  <c r="G114" i="9"/>
  <c r="Q19" i="9" s="1"/>
  <c r="E114" i="9"/>
  <c r="F114" i="9" s="1" a="1"/>
  <c r="F114" i="9" s="1"/>
  <c r="W113" i="9"/>
  <c r="G113" i="9"/>
  <c r="E113" i="9"/>
  <c r="F113" i="9" s="1" a="1"/>
  <c r="F113" i="9" s="1"/>
  <c r="W112" i="9"/>
  <c r="G112" i="9"/>
  <c r="E112" i="9"/>
  <c r="F112" i="9" s="1" a="1"/>
  <c r="F112" i="9" s="1"/>
  <c r="W111" i="9"/>
  <c r="G111" i="9"/>
  <c r="F111" i="9" a="1"/>
  <c r="F111" i="9" s="1"/>
  <c r="E111" i="9"/>
  <c r="W110" i="9"/>
  <c r="G110" i="9"/>
  <c r="E110" i="9"/>
  <c r="F110" i="9" s="1" a="1"/>
  <c r="F110" i="9" s="1"/>
  <c r="W109" i="9"/>
  <c r="G109" i="9"/>
  <c r="Q27" i="9" s="1"/>
  <c r="E109" i="9"/>
  <c r="W108" i="9"/>
  <c r="G108" i="9"/>
  <c r="E108" i="9"/>
  <c r="F108" i="9" s="1" a="1"/>
  <c r="F108" i="9" s="1"/>
  <c r="W107" i="9"/>
  <c r="G107" i="9"/>
  <c r="E107" i="9"/>
  <c r="F107" i="9" s="1" a="1"/>
  <c r="F107" i="9" s="1"/>
  <c r="W106" i="9"/>
  <c r="G106" i="9"/>
  <c r="E106" i="9"/>
  <c r="F106" i="9" s="1" a="1"/>
  <c r="F106" i="9" s="1"/>
  <c r="V96" i="9"/>
  <c r="U96" i="9"/>
  <c r="T96" i="9"/>
  <c r="S96" i="9"/>
  <c r="Q96" i="9"/>
  <c r="P96" i="9"/>
  <c r="O96" i="9"/>
  <c r="N96" i="9"/>
  <c r="K96" i="9"/>
  <c r="J96" i="9"/>
  <c r="I96" i="9"/>
  <c r="H96" i="9"/>
  <c r="W94" i="9"/>
  <c r="G94" i="9"/>
  <c r="F94" i="9" a="1"/>
  <c r="F94" i="9" s="1"/>
  <c r="E94" i="9"/>
  <c r="W93" i="9"/>
  <c r="G93" i="9"/>
  <c r="F93" i="9" a="1"/>
  <c r="F93" i="9" s="1"/>
  <c r="E93" i="9"/>
  <c r="W92" i="9"/>
  <c r="G92" i="9"/>
  <c r="E92" i="9"/>
  <c r="F92" i="9" s="1" a="1"/>
  <c r="F92" i="9" s="1"/>
  <c r="W91" i="9"/>
  <c r="G91" i="9"/>
  <c r="F91" i="9" a="1"/>
  <c r="F91" i="9"/>
  <c r="E91" i="9"/>
  <c r="W90" i="9"/>
  <c r="G90" i="9"/>
  <c r="F90" i="9" a="1"/>
  <c r="F90" i="9"/>
  <c r="E90" i="9"/>
  <c r="W89" i="9"/>
  <c r="G89" i="9"/>
  <c r="G97" i="9" s="1"/>
  <c r="F89" i="9" a="1"/>
  <c r="F89" i="9" s="1"/>
  <c r="E89" i="9"/>
  <c r="W88" i="9"/>
  <c r="G88" i="9"/>
  <c r="F88" i="9" a="1"/>
  <c r="F88" i="9" s="1"/>
  <c r="W87" i="9"/>
  <c r="G87" i="9"/>
  <c r="E87" i="9"/>
  <c r="F87" i="9" s="1" a="1"/>
  <c r="F87" i="9" s="1"/>
  <c r="W86" i="9"/>
  <c r="G86" i="9"/>
  <c r="E86" i="9"/>
  <c r="F86" i="9" s="1" a="1"/>
  <c r="F86" i="9" s="1"/>
  <c r="W85" i="9"/>
  <c r="G85" i="9"/>
  <c r="E85" i="9"/>
  <c r="F85" i="9" s="1" a="1"/>
  <c r="F85" i="9" s="1"/>
  <c r="W84" i="9"/>
  <c r="G84" i="9"/>
  <c r="F84" i="9" a="1"/>
  <c r="F84" i="9"/>
  <c r="E84" i="9"/>
  <c r="W83" i="9"/>
  <c r="G83" i="9"/>
  <c r="E83" i="9"/>
  <c r="F83" i="9" s="1" a="1"/>
  <c r="F83" i="9" s="1"/>
  <c r="W82" i="9"/>
  <c r="G82" i="9"/>
  <c r="P17" i="9" s="1"/>
  <c r="E82" i="9"/>
  <c r="F82" i="9" s="1" a="1"/>
  <c r="F82" i="9" s="1"/>
  <c r="W81" i="9"/>
  <c r="G81" i="9"/>
  <c r="E81" i="9"/>
  <c r="F81" i="9" s="1" a="1"/>
  <c r="F81" i="9" s="1"/>
  <c r="W80" i="9"/>
  <c r="G80" i="9"/>
  <c r="E80" i="9"/>
  <c r="F80" i="9" s="1" a="1"/>
  <c r="F80" i="9" s="1"/>
  <c r="W79" i="9"/>
  <c r="G79" i="9"/>
  <c r="F79" i="9" a="1"/>
  <c r="F79" i="9"/>
  <c r="E79" i="9"/>
  <c r="W78" i="9"/>
  <c r="G78" i="9"/>
  <c r="P27" i="9" s="1"/>
  <c r="E78" i="9"/>
  <c r="W77" i="9"/>
  <c r="G77" i="9"/>
  <c r="F77" i="9" a="1"/>
  <c r="F77" i="9"/>
  <c r="E77" i="9"/>
  <c r="W76" i="9"/>
  <c r="G76" i="9"/>
  <c r="P29" i="9" s="1"/>
  <c r="F76" i="9" a="1"/>
  <c r="F76" i="9" s="1"/>
  <c r="E76" i="9"/>
  <c r="W75" i="9"/>
  <c r="G75" i="9"/>
  <c r="F75" i="9" a="1"/>
  <c r="F75" i="9" s="1"/>
  <c r="E75" i="9"/>
  <c r="V70" i="9"/>
  <c r="W70" i="9" s="1"/>
  <c r="U70" i="9"/>
  <c r="T70" i="9"/>
  <c r="G65" i="9"/>
  <c r="V64" i="9"/>
  <c r="U64" i="9"/>
  <c r="T64" i="9"/>
  <c r="S64" i="9"/>
  <c r="Q64" i="9"/>
  <c r="P64" i="9"/>
  <c r="O64" i="9"/>
  <c r="N64" i="9"/>
  <c r="K64" i="9"/>
  <c r="G64" i="9" s="1"/>
  <c r="J64" i="9"/>
  <c r="I64" i="9"/>
  <c r="H64" i="9"/>
  <c r="D64" i="9" a="1"/>
  <c r="D64" i="9" s="1"/>
  <c r="B64" i="9"/>
  <c r="D63" i="9" a="1"/>
  <c r="D63" i="9"/>
  <c r="B63" i="9"/>
  <c r="W62" i="9"/>
  <c r="G62" i="9"/>
  <c r="F62" i="9" a="1"/>
  <c r="F62" i="9"/>
  <c r="E62" i="9"/>
  <c r="D62" i="9" a="1"/>
  <c r="D62" i="9" s="1"/>
  <c r="B62" i="9"/>
  <c r="W61" i="9"/>
  <c r="G61" i="9"/>
  <c r="F61" i="9" a="1"/>
  <c r="F61" i="9" s="1"/>
  <c r="E61" i="9"/>
  <c r="D61" i="9" a="1"/>
  <c r="D61" i="9" s="1"/>
  <c r="B61" i="9"/>
  <c r="W60" i="9"/>
  <c r="G60" i="9"/>
  <c r="E60" i="9"/>
  <c r="F60" i="9" s="1" a="1"/>
  <c r="F60" i="9" s="1"/>
  <c r="D60" i="9" a="1"/>
  <c r="D60" i="9" s="1"/>
  <c r="B60" i="9"/>
  <c r="W59" i="9"/>
  <c r="G59" i="9"/>
  <c r="F59" i="9" a="1"/>
  <c r="F59" i="9" s="1"/>
  <c r="E59" i="9"/>
  <c r="D59" i="9" a="1"/>
  <c r="D59" i="9"/>
  <c r="B59" i="9"/>
  <c r="W58" i="9"/>
  <c r="G58" i="9"/>
  <c r="F58" i="9" a="1"/>
  <c r="F58" i="9" s="1"/>
  <c r="E58" i="9"/>
  <c r="D58" i="9" a="1"/>
  <c r="D58" i="9" s="1"/>
  <c r="B58" i="9"/>
  <c r="W57" i="9"/>
  <c r="G57" i="9"/>
  <c r="F57" i="9" a="1"/>
  <c r="F57" i="9" s="1"/>
  <c r="E57" i="9"/>
  <c r="D57" i="9" a="1"/>
  <c r="D57" i="9" s="1"/>
  <c r="B57" i="9"/>
  <c r="W56" i="9"/>
  <c r="G56" i="9"/>
  <c r="F56" i="9" a="1"/>
  <c r="F56" i="9" s="1"/>
  <c r="E56" i="9"/>
  <c r="D56" i="9" a="1"/>
  <c r="D56" i="9" s="1"/>
  <c r="B56" i="9"/>
  <c r="W55" i="9"/>
  <c r="G55" i="9"/>
  <c r="E55" i="9"/>
  <c r="F55" i="9" s="1" a="1"/>
  <c r="F55" i="9" s="1"/>
  <c r="B55" i="9"/>
  <c r="W54" i="9"/>
  <c r="G54" i="9"/>
  <c r="F54" i="9" a="1"/>
  <c r="F54" i="9" s="1"/>
  <c r="E54" i="9"/>
  <c r="D54" i="9" a="1"/>
  <c r="D54" i="9"/>
  <c r="B54" i="9"/>
  <c r="W53" i="9"/>
  <c r="G53" i="9"/>
  <c r="F53" i="9" a="1"/>
  <c r="F53" i="9" s="1"/>
  <c r="E53" i="9"/>
  <c r="D53" i="9" a="1"/>
  <c r="D53" i="9" s="1"/>
  <c r="B53" i="9"/>
  <c r="W52" i="9"/>
  <c r="G52" i="9"/>
  <c r="F52" i="9" a="1"/>
  <c r="F52" i="9" s="1"/>
  <c r="E52" i="9"/>
  <c r="D52" i="9" a="1"/>
  <c r="D52" i="9" s="1"/>
  <c r="B52" i="9"/>
  <c r="W51" i="9"/>
  <c r="G51" i="9"/>
  <c r="F51" i="9" a="1"/>
  <c r="F51" i="9" s="1"/>
  <c r="E51" i="9"/>
  <c r="D51" i="9" a="1"/>
  <c r="D51" i="9" s="1"/>
  <c r="B51" i="9"/>
  <c r="W50" i="9"/>
  <c r="G50" i="9"/>
  <c r="E50" i="9"/>
  <c r="F50" i="9" s="1" a="1"/>
  <c r="F50" i="9" s="1"/>
  <c r="B50" i="9"/>
  <c r="W49" i="9"/>
  <c r="G49" i="9"/>
  <c r="F49" i="9" a="1"/>
  <c r="F49" i="9" s="1"/>
  <c r="E49" i="9"/>
  <c r="D49" i="9" a="1"/>
  <c r="D49" i="9"/>
  <c r="B49" i="9"/>
  <c r="W48" i="9"/>
  <c r="G48" i="9"/>
  <c r="F48" i="9" a="1"/>
  <c r="F48" i="9" s="1"/>
  <c r="E48" i="9"/>
  <c r="D48" i="9" a="1"/>
  <c r="D48" i="9" s="1"/>
  <c r="B48" i="9"/>
  <c r="X47" i="9"/>
  <c r="W47" i="9"/>
  <c r="G47" i="9"/>
  <c r="O27" i="9" s="1"/>
  <c r="E47" i="9"/>
  <c r="D47" i="9" s="1" a="1"/>
  <c r="D47" i="9" s="1"/>
  <c r="B47" i="9"/>
  <c r="W46" i="9"/>
  <c r="G46" i="9"/>
  <c r="E46" i="9"/>
  <c r="F46" i="9" s="1" a="1"/>
  <c r="F46" i="9" s="1"/>
  <c r="B46" i="9"/>
  <c r="W45" i="9"/>
  <c r="G45" i="9"/>
  <c r="G66" i="9" s="1"/>
  <c r="E45" i="9"/>
  <c r="F45" i="9" s="1" a="1"/>
  <c r="F45" i="9" s="1"/>
  <c r="D45" i="9" a="1"/>
  <c r="D45" i="9"/>
  <c r="B45" i="9"/>
  <c r="W44" i="9"/>
  <c r="G44" i="9"/>
  <c r="E44" i="9"/>
  <c r="F44" i="9" s="1" a="1"/>
  <c r="F44" i="9" s="1"/>
  <c r="D44" i="9" a="1"/>
  <c r="D44" i="9"/>
  <c r="B44" i="9"/>
  <c r="P30" i="9"/>
  <c r="O30" i="9"/>
  <c r="L30" i="9"/>
  <c r="I30" i="9" a="1"/>
  <c r="I30" i="9" s="1"/>
  <c r="J30" i="9" s="1"/>
  <c r="F30" i="9" a="1"/>
  <c r="F30" i="9" s="1"/>
  <c r="D30" i="9" a="1"/>
  <c r="D30" i="9"/>
  <c r="R29" i="9"/>
  <c r="Q29" i="9"/>
  <c r="O29" i="9"/>
  <c r="L29" i="9"/>
  <c r="K29" i="9"/>
  <c r="J29" i="9"/>
  <c r="I29" i="9" a="1"/>
  <c r="I29" i="9"/>
  <c r="F29" i="9" a="1"/>
  <c r="F29" i="9"/>
  <c r="D29" i="9" a="1"/>
  <c r="D29" i="9" s="1"/>
  <c r="Q28" i="9"/>
  <c r="P28" i="9"/>
  <c r="O28" i="9"/>
  <c r="K28" i="9" s="1"/>
  <c r="L28" i="9"/>
  <c r="I28" i="9" a="1"/>
  <c r="I28" i="9" s="1"/>
  <c r="J28" i="9" s="1"/>
  <c r="F28" i="9" a="1"/>
  <c r="F28" i="9"/>
  <c r="D28" i="9" a="1"/>
  <c r="D28" i="9"/>
  <c r="R27" i="9"/>
  <c r="I27" i="9" a="1"/>
  <c r="I27" i="9" s="1"/>
  <c r="J27" i="9" s="1"/>
  <c r="D27" i="9" a="1"/>
  <c r="D27" i="9"/>
  <c r="S24" i="9"/>
  <c r="R24" i="9"/>
  <c r="Q24" i="9"/>
  <c r="I24" i="9" a="1"/>
  <c r="I24" i="9" s="1"/>
  <c r="J24" i="9" s="1"/>
  <c r="D24" i="9" a="1"/>
  <c r="D24" i="9" s="1"/>
  <c r="R23" i="9"/>
  <c r="Q23" i="9"/>
  <c r="P23" i="9"/>
  <c r="O23" i="9"/>
  <c r="L23" i="9"/>
  <c r="I23" i="9" a="1"/>
  <c r="I23" i="9"/>
  <c r="J23" i="9" s="1"/>
  <c r="D23" i="9" a="1"/>
  <c r="D23" i="9" s="1"/>
  <c r="R22" i="9"/>
  <c r="Q22" i="9"/>
  <c r="P22" i="9"/>
  <c r="O22" i="9"/>
  <c r="L22" i="9"/>
  <c r="I22" i="9" a="1"/>
  <c r="I22" i="9"/>
  <c r="J22" i="9" s="1"/>
  <c r="D22" i="9" a="1"/>
  <c r="D22" i="9" s="1"/>
  <c r="R21" i="9"/>
  <c r="P21" i="9"/>
  <c r="O21" i="9"/>
  <c r="L21" i="9"/>
  <c r="I21" i="9" a="1"/>
  <c r="I21" i="9" s="1"/>
  <c r="J21" i="9" s="1"/>
  <c r="D21" i="9" a="1"/>
  <c r="D21" i="9" s="1"/>
  <c r="R20" i="9"/>
  <c r="Q20" i="9"/>
  <c r="P20" i="9"/>
  <c r="I20" i="9" a="1"/>
  <c r="I20" i="9" s="1"/>
  <c r="J20" i="9" s="1"/>
  <c r="D20" i="9" a="1"/>
  <c r="D20" i="9"/>
  <c r="R19" i="9"/>
  <c r="P19" i="9"/>
  <c r="O19" i="9"/>
  <c r="L19" i="9"/>
  <c r="I19" i="9" a="1"/>
  <c r="I19" i="9" s="1"/>
  <c r="J19" i="9" s="1"/>
  <c r="D19" i="9" a="1"/>
  <c r="D19" i="9" s="1"/>
  <c r="R18" i="9"/>
  <c r="Q18" i="9"/>
  <c r="P18" i="9"/>
  <c r="O18" i="9"/>
  <c r="L18" i="9"/>
  <c r="J18" i="9"/>
  <c r="I18" i="9" a="1"/>
  <c r="I18" i="9"/>
  <c r="D18" i="9" a="1"/>
  <c r="D18" i="9"/>
  <c r="R17" i="9"/>
  <c r="Q17" i="9"/>
  <c r="O17" i="9"/>
  <c r="L17" i="9"/>
  <c r="I17" i="9" a="1"/>
  <c r="I17" i="9" s="1"/>
  <c r="J17" i="9" s="1"/>
  <c r="D17" i="9" a="1"/>
  <c r="D17" i="9"/>
  <c r="R16" i="9"/>
  <c r="Q16" i="9"/>
  <c r="P16" i="9"/>
  <c r="O16" i="9"/>
  <c r="L16" i="9"/>
  <c r="I16" i="9" a="1"/>
  <c r="I16" i="9" s="1"/>
  <c r="J16" i="9" s="1"/>
  <c r="D16" i="9" a="1"/>
  <c r="D16" i="9"/>
  <c r="R15" i="9"/>
  <c r="Q15" i="9"/>
  <c r="P15" i="9"/>
  <c r="O15" i="9"/>
  <c r="L15" i="9"/>
  <c r="I15" i="9" a="1"/>
  <c r="I15" i="9"/>
  <c r="J15" i="9" s="1"/>
  <c r="D15" i="9" a="1"/>
  <c r="D15" i="9" s="1"/>
  <c r="R14" i="9"/>
  <c r="Q14" i="9"/>
  <c r="P14" i="9"/>
  <c r="O14" i="9"/>
  <c r="L14" i="9"/>
  <c r="J14" i="9"/>
  <c r="I14" i="9" a="1"/>
  <c r="I14" i="9" s="1"/>
  <c r="D14" i="9" a="1"/>
  <c r="D14" i="9"/>
  <c r="R13" i="9"/>
  <c r="Q13" i="9"/>
  <c r="P13" i="9"/>
  <c r="O13" i="9"/>
  <c r="L13" i="9"/>
  <c r="H33" i="9" s="1"/>
  <c r="I13" i="9" a="1"/>
  <c r="I13" i="9" s="1"/>
  <c r="J13" i="9" s="1"/>
  <c r="D13" i="9" a="1"/>
  <c r="D13" i="9"/>
  <c r="R12" i="9"/>
  <c r="Q12" i="9"/>
  <c r="P12" i="9"/>
  <c r="O12" i="9"/>
  <c r="L12" i="9"/>
  <c r="L33" i="9" s="1"/>
  <c r="J12" i="9"/>
  <c r="I12" i="9" a="1"/>
  <c r="I12" i="9"/>
  <c r="R11" i="9"/>
  <c r="Q11" i="9"/>
  <c r="P11" i="9"/>
  <c r="O11" i="9"/>
  <c r="L11" i="9"/>
  <c r="I11" i="9" a="1"/>
  <c r="I11" i="9" s="1"/>
  <c r="J11" i="9" s="1"/>
  <c r="D11" i="9" a="1"/>
  <c r="D11" i="9" s="1"/>
  <c r="R10" i="9"/>
  <c r="Q10" i="9"/>
  <c r="P10" i="9"/>
  <c r="O10" i="9"/>
  <c r="L10" i="9"/>
  <c r="I10" i="9" a="1"/>
  <c r="I10" i="9"/>
  <c r="J10" i="9" s="1"/>
  <c r="D10" i="9" a="1"/>
  <c r="D10" i="9" s="1"/>
  <c r="R9" i="9"/>
  <c r="Q9" i="9"/>
  <c r="P9" i="9"/>
  <c r="O9" i="9"/>
  <c r="L9" i="9"/>
  <c r="I9" i="9" a="1"/>
  <c r="I9" i="9" s="1"/>
  <c r="J9" i="9" s="1"/>
  <c r="J35" i="9" s="1"/>
  <c r="D9" i="9" a="1"/>
  <c r="D9" i="9"/>
  <c r="R8" i="9"/>
  <c r="Q8" i="9"/>
  <c r="P8" i="9"/>
  <c r="L8" i="9"/>
  <c r="I8" i="9" a="1"/>
  <c r="I8" i="9" s="1"/>
  <c r="D8" i="9" a="1"/>
  <c r="D8" i="9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D89" i="8"/>
  <c r="J68" i="8" a="1"/>
  <c r="J68" i="8"/>
  <c r="J67" i="8" a="1"/>
  <c r="J67" i="8"/>
  <c r="J66" i="8" a="1"/>
  <c r="J66" i="8"/>
  <c r="J65" i="8" a="1"/>
  <c r="J65" i="8" s="1"/>
  <c r="J64" i="8" a="1"/>
  <c r="J64" i="8"/>
  <c r="J63" i="8" a="1"/>
  <c r="J63" i="8" s="1"/>
  <c r="J62" i="8" a="1"/>
  <c r="J62" i="8"/>
  <c r="J61" i="8" a="1"/>
  <c r="J61" i="8"/>
  <c r="J60" i="8" a="1"/>
  <c r="J60" i="8" s="1"/>
  <c r="J59" i="8" a="1"/>
  <c r="J59" i="8"/>
  <c r="J58" i="8" a="1"/>
  <c r="J58" i="8"/>
  <c r="J57" i="8" a="1"/>
  <c r="J57" i="8"/>
  <c r="J56" i="8" a="1"/>
  <c r="J56" i="8"/>
  <c r="J55" i="8" a="1"/>
  <c r="J55" i="8" s="1"/>
  <c r="J54" i="8" a="1"/>
  <c r="J54" i="8" s="1"/>
  <c r="J53" i="8" a="1"/>
  <c r="J53" i="8" s="1"/>
  <c r="J52" i="8" a="1"/>
  <c r="J52" i="8"/>
  <c r="J51" i="8" a="1"/>
  <c r="J51" i="8"/>
  <c r="R44" i="8"/>
  <c r="R43" i="8"/>
  <c r="T38" i="8" a="1"/>
  <c r="T38" i="8" s="1"/>
  <c r="U38" i="8" s="1"/>
  <c r="T37" i="8" a="1"/>
  <c r="T37" i="8" s="1"/>
  <c r="U37" i="8" s="1"/>
  <c r="P37" i="8" a="1"/>
  <c r="P37" i="8"/>
  <c r="M37" i="8" a="1"/>
  <c r="M37" i="8" s="1"/>
  <c r="T36" i="8" a="1"/>
  <c r="T36" i="8" s="1"/>
  <c r="U36" i="8" s="1"/>
  <c r="P36" i="8" a="1"/>
  <c r="P36" i="8" s="1"/>
  <c r="M36" i="8" a="1"/>
  <c r="M36" i="8"/>
  <c r="T35" i="8" a="1"/>
  <c r="T35" i="8"/>
  <c r="U35" i="8" s="1"/>
  <c r="P35" i="8" a="1"/>
  <c r="P35" i="8"/>
  <c r="M35" i="8" a="1"/>
  <c r="M35" i="8" s="1"/>
  <c r="T34" i="8" a="1"/>
  <c r="T34" i="8"/>
  <c r="U34" i="8" s="1"/>
  <c r="P34" i="8" a="1"/>
  <c r="P34" i="8"/>
  <c r="M34" i="8" a="1"/>
  <c r="M34" i="8" s="1"/>
  <c r="T33" i="8" a="1"/>
  <c r="T33" i="8"/>
  <c r="U33" i="8" s="1"/>
  <c r="P33" i="8" a="1"/>
  <c r="P33" i="8"/>
  <c r="M33" i="8" a="1"/>
  <c r="M33" i="8" s="1"/>
  <c r="AP32" i="8"/>
  <c r="AO32" i="8"/>
  <c r="AN32" i="8"/>
  <c r="AM32" i="8"/>
  <c r="AL32" i="8"/>
  <c r="AK32" i="8"/>
  <c r="AJ32" i="8"/>
  <c r="AI32" i="8"/>
  <c r="AH32" i="8"/>
  <c r="AD33" i="8" s="1"/>
  <c r="AG32" i="8"/>
  <c r="AF32" i="8"/>
  <c r="AE32" i="8"/>
  <c r="T32" i="8" a="1"/>
  <c r="T32" i="8" s="1"/>
  <c r="U32" i="8" s="1"/>
  <c r="P32" i="8" a="1"/>
  <c r="P32" i="8" s="1"/>
  <c r="M32" i="8" a="1"/>
  <c r="M32" i="8"/>
  <c r="T31" i="8" a="1"/>
  <c r="T31" i="8" s="1"/>
  <c r="U31" i="8" s="1"/>
  <c r="P31" i="8" a="1"/>
  <c r="P31" i="8"/>
  <c r="M31" i="8" a="1"/>
  <c r="M31" i="8" s="1"/>
  <c r="AC30" i="8" a="1"/>
  <c r="AC30" i="8" s="1"/>
  <c r="T30" i="8" a="1"/>
  <c r="T30" i="8"/>
  <c r="U30" i="8" s="1"/>
  <c r="P30" i="8" a="1"/>
  <c r="P30" i="8" s="1"/>
  <c r="M30" i="8" a="1"/>
  <c r="M30" i="8" s="1"/>
  <c r="AC29" i="8" a="1"/>
  <c r="AC29" i="8"/>
  <c r="T29" i="8" a="1"/>
  <c r="T29" i="8"/>
  <c r="U29" i="8" s="1"/>
  <c r="P29" i="8" a="1"/>
  <c r="P29" i="8" s="1"/>
  <c r="M29" i="8" a="1"/>
  <c r="M29" i="8"/>
  <c r="AC28" i="8" a="1"/>
  <c r="AC28" i="8"/>
  <c r="T28" i="8" a="1"/>
  <c r="T28" i="8" s="1"/>
  <c r="U28" i="8" s="1"/>
  <c r="P28" i="8" a="1"/>
  <c r="P28" i="8"/>
  <c r="M28" i="8" a="1"/>
  <c r="M28" i="8"/>
  <c r="AC27" i="8" a="1"/>
  <c r="AC27" i="8"/>
  <c r="T27" i="8" a="1"/>
  <c r="T27" i="8" s="1"/>
  <c r="U27" i="8" s="1"/>
  <c r="P27" i="8" a="1"/>
  <c r="P27" i="8" s="1"/>
  <c r="M27" i="8" a="1"/>
  <c r="M27" i="8"/>
  <c r="AC26" i="8" a="1"/>
  <c r="AC26" i="8"/>
  <c r="T26" i="8" a="1"/>
  <c r="T26" i="8"/>
  <c r="U26" i="8" s="1"/>
  <c r="P26" i="8" a="1"/>
  <c r="P26" i="8" s="1"/>
  <c r="M26" i="8" a="1"/>
  <c r="M26" i="8"/>
  <c r="AC25" i="8" a="1"/>
  <c r="AC25" i="8" s="1"/>
  <c r="T25" i="8" a="1"/>
  <c r="T25" i="8" s="1"/>
  <c r="U25" i="8" s="1"/>
  <c r="P25" i="8" a="1"/>
  <c r="P25" i="8"/>
  <c r="M25" i="8" a="1"/>
  <c r="M25" i="8" s="1"/>
  <c r="AC24" i="8" a="1"/>
  <c r="AC24" i="8"/>
  <c r="T24" i="8" a="1"/>
  <c r="T24" i="8" s="1"/>
  <c r="U24" i="8" s="1"/>
  <c r="P24" i="8" a="1"/>
  <c r="P24" i="8" s="1"/>
  <c r="M24" i="8" a="1"/>
  <c r="M24" i="8" s="1"/>
  <c r="AC23" i="8" a="1"/>
  <c r="AC23" i="8"/>
  <c r="T23" i="8" a="1"/>
  <c r="T23" i="8"/>
  <c r="U23" i="8" s="1"/>
  <c r="P23" i="8" a="1"/>
  <c r="P23" i="8" s="1"/>
  <c r="M23" i="8" a="1"/>
  <c r="M23" i="8"/>
  <c r="AC22" i="8" a="1"/>
  <c r="AC22" i="8"/>
  <c r="T22" i="8" a="1"/>
  <c r="T22" i="8"/>
  <c r="U22" i="8" s="1"/>
  <c r="P22" i="8" a="1"/>
  <c r="P22" i="8" s="1"/>
  <c r="M22" i="8" a="1"/>
  <c r="M22" i="8" s="1"/>
  <c r="AC21" i="8" a="1"/>
  <c r="AC21" i="8" s="1"/>
  <c r="T21" i="8" a="1"/>
  <c r="T21" i="8" s="1"/>
  <c r="U21" i="8" s="1"/>
  <c r="P21" i="8" a="1"/>
  <c r="P21" i="8" s="1"/>
  <c r="M21" i="8" a="1"/>
  <c r="M21" i="8"/>
  <c r="AC20" i="8" a="1"/>
  <c r="AC20" i="8"/>
  <c r="AC19" i="8" a="1"/>
  <c r="AC19" i="8" s="1"/>
  <c r="AC18" i="8" a="1"/>
  <c r="AC18" i="8"/>
  <c r="AC17" i="8" a="1"/>
  <c r="AC17" i="8"/>
  <c r="AC16" i="8" a="1"/>
  <c r="AC16" i="8" s="1"/>
  <c r="T16" i="8" a="1"/>
  <c r="T16" i="8"/>
  <c r="U16" i="8" s="1"/>
  <c r="M16" i="8" a="1"/>
  <c r="M16" i="8" s="1"/>
  <c r="AC15" i="8" a="1"/>
  <c r="AC15" i="8"/>
  <c r="U15" i="8"/>
  <c r="T15" i="8" a="1"/>
  <c r="T15" i="8"/>
  <c r="M15" i="8" a="1"/>
  <c r="M15" i="8"/>
  <c r="AC14" i="8" a="1"/>
  <c r="AC14" i="8" s="1"/>
  <c r="T14" i="8" a="1"/>
  <c r="T14" i="8"/>
  <c r="U14" i="8" s="1"/>
  <c r="M14" i="8" a="1"/>
  <c r="M14" i="8" s="1"/>
  <c r="U13" i="8"/>
  <c r="T13" i="8" a="1"/>
  <c r="T13" i="8" s="1"/>
  <c r="M13" i="8" a="1"/>
  <c r="M13" i="8"/>
  <c r="U12" i="8"/>
  <c r="U11" i="8"/>
  <c r="U10" i="8"/>
  <c r="J181" i="7"/>
  <c r="G181" i="7"/>
  <c r="I178" i="7"/>
  <c r="K178" i="7" s="1"/>
  <c r="I177" i="7"/>
  <c r="K177" i="7" s="1"/>
  <c r="I176" i="7"/>
  <c r="K176" i="7" s="1"/>
  <c r="I175" i="7"/>
  <c r="K175" i="7" s="1"/>
  <c r="I174" i="7"/>
  <c r="K174" i="7" s="1"/>
  <c r="I173" i="7"/>
  <c r="K173" i="7" s="1"/>
  <c r="I172" i="7"/>
  <c r="K172" i="7" s="1"/>
  <c r="I171" i="7"/>
  <c r="K171" i="7" s="1"/>
  <c r="I170" i="7"/>
  <c r="I169" i="7"/>
  <c r="K169" i="7" s="1"/>
  <c r="I168" i="7"/>
  <c r="K168" i="7" s="1"/>
  <c r="I167" i="7"/>
  <c r="K167" i="7" s="1"/>
  <c r="O166" i="7"/>
  <c r="I166" i="7"/>
  <c r="K166" i="7" s="1"/>
  <c r="I165" i="7"/>
  <c r="K165" i="7" s="1"/>
  <c r="I164" i="7"/>
  <c r="K164" i="7" s="1"/>
  <c r="I163" i="7"/>
  <c r="K163" i="7" s="1"/>
  <c r="I162" i="7"/>
  <c r="K162" i="7" s="1"/>
  <c r="I161" i="7"/>
  <c r="K161" i="7" s="1"/>
  <c r="I160" i="7"/>
  <c r="K160" i="7" s="1"/>
  <c r="I159" i="7"/>
  <c r="K159" i="7" s="1"/>
  <c r="I158" i="7"/>
  <c r="K158" i="7" s="1"/>
  <c r="I157" i="7"/>
  <c r="K157" i="7" s="1"/>
  <c r="I156" i="7"/>
  <c r="K156" i="7" s="1"/>
  <c r="I155" i="7"/>
  <c r="K155" i="7" s="1"/>
  <c r="I154" i="7"/>
  <c r="K154" i="7" s="1"/>
  <c r="I153" i="7"/>
  <c r="K153" i="7" s="1"/>
  <c r="I152" i="7"/>
  <c r="K152" i="7" s="1"/>
  <c r="I151" i="7"/>
  <c r="K151" i="7" s="1"/>
  <c r="I150" i="7"/>
  <c r="K150" i="7" s="1"/>
  <c r="I149" i="7"/>
  <c r="K149" i="7" s="1"/>
  <c r="I148" i="7"/>
  <c r="K148" i="7" s="1"/>
  <c r="I147" i="7"/>
  <c r="K147" i="7" s="1"/>
  <c r="I146" i="7"/>
  <c r="K146" i="7" s="1"/>
  <c r="I145" i="7"/>
  <c r="K145" i="7" s="1"/>
  <c r="I144" i="7"/>
  <c r="K144" i="7" s="1"/>
  <c r="I143" i="7"/>
  <c r="K143" i="7" s="1"/>
  <c r="I142" i="7"/>
  <c r="K142" i="7" s="1"/>
  <c r="I141" i="7"/>
  <c r="K141" i="7" s="1"/>
  <c r="I140" i="7"/>
  <c r="K140" i="7" s="1"/>
  <c r="I139" i="7"/>
  <c r="K139" i="7" s="1"/>
  <c r="I138" i="7"/>
  <c r="K138" i="7" s="1"/>
  <c r="I137" i="7"/>
  <c r="K137" i="7" s="1"/>
  <c r="I136" i="7"/>
  <c r="K136" i="7" s="1"/>
  <c r="I135" i="7"/>
  <c r="K135" i="7" s="1"/>
  <c r="I134" i="7"/>
  <c r="K134" i="7" s="1"/>
  <c r="I133" i="7"/>
  <c r="K133" i="7" s="1"/>
  <c r="I132" i="7"/>
  <c r="K132" i="7" s="1"/>
  <c r="I131" i="7"/>
  <c r="K131" i="7" s="1"/>
  <c r="I130" i="7"/>
  <c r="K130" i="7" s="1"/>
  <c r="I129" i="7"/>
  <c r="K129" i="7" s="1"/>
  <c r="I128" i="7"/>
  <c r="K128" i="7" s="1"/>
  <c r="I127" i="7"/>
  <c r="K127" i="7" s="1"/>
  <c r="I126" i="7"/>
  <c r="K126" i="7" s="1"/>
  <c r="I125" i="7"/>
  <c r="K125" i="7" s="1"/>
  <c r="I124" i="7"/>
  <c r="K124" i="7" s="1"/>
  <c r="I123" i="7"/>
  <c r="K123" i="7" s="1"/>
  <c r="I122" i="7"/>
  <c r="K122" i="7" s="1"/>
  <c r="I121" i="7"/>
  <c r="K121" i="7" s="1"/>
  <c r="I120" i="7"/>
  <c r="K120" i="7" s="1"/>
  <c r="I119" i="7"/>
  <c r="K119" i="7" s="1"/>
  <c r="I118" i="7"/>
  <c r="K118" i="7" s="1"/>
  <c r="I117" i="7"/>
  <c r="K117" i="7" s="1"/>
  <c r="I116" i="7"/>
  <c r="K116" i="7" s="1"/>
  <c r="I115" i="7"/>
  <c r="K115" i="7" s="1"/>
  <c r="I114" i="7"/>
  <c r="K114" i="7" s="1"/>
  <c r="I113" i="7"/>
  <c r="K113" i="7" s="1"/>
  <c r="I112" i="7"/>
  <c r="K112" i="7" s="1"/>
  <c r="I111" i="7"/>
  <c r="K111" i="7" s="1"/>
  <c r="I110" i="7"/>
  <c r="K110" i="7" s="1"/>
  <c r="I109" i="7"/>
  <c r="K109" i="7" s="1"/>
  <c r="I108" i="7"/>
  <c r="K108" i="7" s="1"/>
  <c r="I107" i="7"/>
  <c r="K107" i="7" s="1"/>
  <c r="I106" i="7"/>
  <c r="K106" i="7" s="1"/>
  <c r="I105" i="7"/>
  <c r="K105" i="7" s="1"/>
  <c r="I104" i="7"/>
  <c r="K104" i="7" s="1"/>
  <c r="I103" i="7"/>
  <c r="K103" i="7" s="1"/>
  <c r="I102" i="7"/>
  <c r="K102" i="7" s="1"/>
  <c r="I101" i="7"/>
  <c r="I100" i="7"/>
  <c r="K100" i="7" s="1"/>
  <c r="O99" i="7"/>
  <c r="I98" i="7"/>
  <c r="K98" i="7" s="1"/>
  <c r="I97" i="7"/>
  <c r="K97" i="7" s="1"/>
  <c r="I95" i="7"/>
  <c r="K95" i="7" s="1"/>
  <c r="I94" i="7"/>
  <c r="K94" i="7" s="1"/>
  <c r="I93" i="7"/>
  <c r="K93" i="7" s="1"/>
  <c r="I92" i="7"/>
  <c r="K92" i="7" s="1"/>
  <c r="I91" i="7"/>
  <c r="K91" i="7" s="1"/>
  <c r="I90" i="7"/>
  <c r="K90" i="7" s="1"/>
  <c r="I89" i="7"/>
  <c r="K89" i="7" s="1"/>
  <c r="I88" i="7"/>
  <c r="K88" i="7" s="1"/>
  <c r="I87" i="7"/>
  <c r="K87" i="7" s="1"/>
  <c r="I86" i="7"/>
  <c r="K86" i="7" s="1"/>
  <c r="I85" i="7"/>
  <c r="K85" i="7" s="1"/>
  <c r="I84" i="7"/>
  <c r="K84" i="7" s="1"/>
  <c r="I83" i="7"/>
  <c r="K83" i="7" s="1"/>
  <c r="I82" i="7"/>
  <c r="K82" i="7" s="1"/>
  <c r="I81" i="7"/>
  <c r="K81" i="7" s="1"/>
  <c r="I80" i="7"/>
  <c r="K80" i="7" s="1"/>
  <c r="I79" i="7"/>
  <c r="K79" i="7" s="1"/>
  <c r="I78" i="7"/>
  <c r="K78" i="7" s="1"/>
  <c r="I77" i="7"/>
  <c r="K77" i="7" s="1"/>
  <c r="I76" i="7"/>
  <c r="K76" i="7" s="1"/>
  <c r="I75" i="7"/>
  <c r="K75" i="7" s="1"/>
  <c r="I74" i="7"/>
  <c r="K74" i="7" s="1"/>
  <c r="I73" i="7"/>
  <c r="K73" i="7" s="1"/>
  <c r="I72" i="7"/>
  <c r="O71" i="7"/>
  <c r="I71" i="7"/>
  <c r="K71" i="7" s="1"/>
  <c r="I70" i="7"/>
  <c r="K70" i="7" s="1"/>
  <c r="I69" i="7"/>
  <c r="K69" i="7" s="1"/>
  <c r="I68" i="7"/>
  <c r="K68" i="7" s="1"/>
  <c r="I67" i="7"/>
  <c r="K67" i="7" s="1"/>
  <c r="I66" i="7"/>
  <c r="K66" i="7" s="1"/>
  <c r="I65" i="7"/>
  <c r="K65" i="7" s="1"/>
  <c r="I64" i="7"/>
  <c r="K64" i="7" s="1"/>
  <c r="I63" i="7"/>
  <c r="K63" i="7" s="1"/>
  <c r="I62" i="7"/>
  <c r="K62" i="7" s="1"/>
  <c r="I61" i="7"/>
  <c r="K61" i="7" s="1"/>
  <c r="I60" i="7"/>
  <c r="K60" i="7" s="1"/>
  <c r="I59" i="7"/>
  <c r="K59" i="7" s="1"/>
  <c r="I58" i="7"/>
  <c r="K58" i="7" s="1"/>
  <c r="I57" i="7"/>
  <c r="K57" i="7" s="1"/>
  <c r="I56" i="7"/>
  <c r="K56" i="7" s="1"/>
  <c r="I55" i="7"/>
  <c r="K55" i="7" s="1"/>
  <c r="I54" i="7"/>
  <c r="K54" i="7" s="1"/>
  <c r="I53" i="7"/>
  <c r="K53" i="7" s="1"/>
  <c r="I52" i="7"/>
  <c r="K52" i="7" s="1"/>
  <c r="I51" i="7"/>
  <c r="K51" i="7" s="1"/>
  <c r="I50" i="7"/>
  <c r="K50" i="7" s="1"/>
  <c r="I49" i="7"/>
  <c r="K49" i="7" s="1"/>
  <c r="I47" i="7"/>
  <c r="K47" i="7" s="1"/>
  <c r="I46" i="7"/>
  <c r="K46" i="7" s="1"/>
  <c r="I45" i="7"/>
  <c r="K45" i="7" s="1"/>
  <c r="I44" i="7"/>
  <c r="K44" i="7" s="1"/>
  <c r="I43" i="7"/>
  <c r="K43" i="7" s="1"/>
  <c r="I42" i="7"/>
  <c r="K42" i="7" s="1"/>
  <c r="I41" i="7"/>
  <c r="K41" i="7" s="1"/>
  <c r="I40" i="7"/>
  <c r="K40" i="7" s="1"/>
  <c r="I39" i="7"/>
  <c r="K39" i="7" s="1"/>
  <c r="I38" i="7"/>
  <c r="K38" i="7" s="1"/>
  <c r="I37" i="7"/>
  <c r="K37" i="7" s="1"/>
  <c r="I36" i="7"/>
  <c r="K36" i="7" s="1"/>
  <c r="I35" i="7"/>
  <c r="K35" i="7" s="1"/>
  <c r="I34" i="7"/>
  <c r="K34" i="7" s="1"/>
  <c r="I33" i="7"/>
  <c r="K33" i="7" s="1"/>
  <c r="I32" i="7"/>
  <c r="K32" i="7" s="1"/>
  <c r="O31" i="7"/>
  <c r="I30" i="7"/>
  <c r="K30" i="7" s="1"/>
  <c r="I29" i="7"/>
  <c r="K29" i="7" s="1"/>
  <c r="I28" i="7"/>
  <c r="K28" i="7" s="1"/>
  <c r="I27" i="7"/>
  <c r="K27" i="7" s="1"/>
  <c r="I26" i="7"/>
  <c r="K26" i="7" s="1"/>
  <c r="J331" i="6"/>
  <c r="E331" i="6"/>
  <c r="J330" i="6"/>
  <c r="E330" i="6"/>
  <c r="J329" i="6"/>
  <c r="E329" i="6"/>
  <c r="J328" i="6"/>
  <c r="E328" i="6"/>
  <c r="J327" i="6"/>
  <c r="E327" i="6"/>
  <c r="J326" i="6"/>
  <c r="E326" i="6"/>
  <c r="J325" i="6"/>
  <c r="E325" i="6"/>
  <c r="J324" i="6"/>
  <c r="E324" i="6"/>
  <c r="J323" i="6"/>
  <c r="E323" i="6"/>
  <c r="J322" i="6"/>
  <c r="E322" i="6"/>
  <c r="J321" i="6"/>
  <c r="E321" i="6"/>
  <c r="J320" i="6"/>
  <c r="E320" i="6"/>
  <c r="J319" i="6"/>
  <c r="E319" i="6"/>
  <c r="J318" i="6"/>
  <c r="E318" i="6"/>
  <c r="J317" i="6"/>
  <c r="E317" i="6"/>
  <c r="J316" i="6"/>
  <c r="E316" i="6"/>
  <c r="J315" i="6"/>
  <c r="E315" i="6"/>
  <c r="J314" i="6"/>
  <c r="E314" i="6"/>
  <c r="J313" i="6"/>
  <c r="E313" i="6"/>
  <c r="J312" i="6"/>
  <c r="E312" i="6"/>
  <c r="J311" i="6"/>
  <c r="E311" i="6"/>
  <c r="J310" i="6"/>
  <c r="E310" i="6"/>
  <c r="J309" i="6"/>
  <c r="E309" i="6"/>
  <c r="J308" i="6"/>
  <c r="E308" i="6"/>
  <c r="J307" i="6"/>
  <c r="E307" i="6"/>
  <c r="J306" i="6"/>
  <c r="E306" i="6"/>
  <c r="J305" i="6"/>
  <c r="E305" i="6"/>
  <c r="J304" i="6"/>
  <c r="E304" i="6"/>
  <c r="J303" i="6"/>
  <c r="E303" i="6"/>
  <c r="J302" i="6"/>
  <c r="E302" i="6"/>
  <c r="J301" i="6"/>
  <c r="E301" i="6"/>
  <c r="J300" i="6"/>
  <c r="E300" i="6"/>
  <c r="J299" i="6"/>
  <c r="E299" i="6"/>
  <c r="J298" i="6"/>
  <c r="E298" i="6"/>
  <c r="J297" i="6"/>
  <c r="E297" i="6"/>
  <c r="J296" i="6"/>
  <c r="E296" i="6"/>
  <c r="J295" i="6"/>
  <c r="E295" i="6"/>
  <c r="J294" i="6"/>
  <c r="E294" i="6"/>
  <c r="J293" i="6"/>
  <c r="E293" i="6"/>
  <c r="J292" i="6"/>
  <c r="E292" i="6"/>
  <c r="J291" i="6"/>
  <c r="E291" i="6"/>
  <c r="J290" i="6"/>
  <c r="E290" i="6"/>
  <c r="J289" i="6"/>
  <c r="E289" i="6"/>
  <c r="J288" i="6"/>
  <c r="E288" i="6"/>
  <c r="J287" i="6"/>
  <c r="E287" i="6"/>
  <c r="J286" i="6"/>
  <c r="E286" i="6"/>
  <c r="J285" i="6"/>
  <c r="E285" i="6"/>
  <c r="J284" i="6"/>
  <c r="E284" i="6"/>
  <c r="J283" i="6"/>
  <c r="E283" i="6"/>
  <c r="J282" i="6"/>
  <c r="E282" i="6"/>
  <c r="J281" i="6"/>
  <c r="E281" i="6"/>
  <c r="J280" i="6"/>
  <c r="E280" i="6"/>
  <c r="J279" i="6"/>
  <c r="E279" i="6"/>
  <c r="J278" i="6"/>
  <c r="E278" i="6"/>
  <c r="J277" i="6"/>
  <c r="E277" i="6"/>
  <c r="J276" i="6"/>
  <c r="E276" i="6"/>
  <c r="J275" i="6"/>
  <c r="E275" i="6"/>
  <c r="J274" i="6"/>
  <c r="E274" i="6"/>
  <c r="J273" i="6"/>
  <c r="E273" i="6"/>
  <c r="J272" i="6"/>
  <c r="E272" i="6"/>
  <c r="J271" i="6"/>
  <c r="E271" i="6"/>
  <c r="J270" i="6"/>
  <c r="E270" i="6"/>
  <c r="J269" i="6"/>
  <c r="E269" i="6"/>
  <c r="J268" i="6"/>
  <c r="E268" i="6"/>
  <c r="J267" i="6"/>
  <c r="E267" i="6"/>
  <c r="J266" i="6"/>
  <c r="E266" i="6"/>
  <c r="J265" i="6"/>
  <c r="E265" i="6"/>
  <c r="J264" i="6"/>
  <c r="E264" i="6"/>
  <c r="J263" i="6"/>
  <c r="E263" i="6"/>
  <c r="J262" i="6"/>
  <c r="E262" i="6"/>
  <c r="J261" i="6"/>
  <c r="E261" i="6"/>
  <c r="J260" i="6"/>
  <c r="E260" i="6"/>
  <c r="J259" i="6"/>
  <c r="E259" i="6"/>
  <c r="J258" i="6"/>
  <c r="E258" i="6"/>
  <c r="J257" i="6"/>
  <c r="E257" i="6"/>
  <c r="J256" i="6"/>
  <c r="E256" i="6"/>
  <c r="J255" i="6"/>
  <c r="E255" i="6"/>
  <c r="J254" i="6"/>
  <c r="E254" i="6"/>
  <c r="J253" i="6"/>
  <c r="E253" i="6"/>
  <c r="J252" i="6"/>
  <c r="E252" i="6"/>
  <c r="J251" i="6"/>
  <c r="E251" i="6"/>
  <c r="J250" i="6"/>
  <c r="E250" i="6"/>
  <c r="J249" i="6"/>
  <c r="E249" i="6"/>
  <c r="J248" i="6"/>
  <c r="E248" i="6"/>
  <c r="J247" i="6"/>
  <c r="E247" i="6"/>
  <c r="J246" i="6"/>
  <c r="E246" i="6"/>
  <c r="J245" i="6"/>
  <c r="E245" i="6"/>
  <c r="J244" i="6"/>
  <c r="E244" i="6"/>
  <c r="J243" i="6"/>
  <c r="E243" i="6"/>
  <c r="J242" i="6"/>
  <c r="E242" i="6"/>
  <c r="J241" i="6"/>
  <c r="E241" i="6"/>
  <c r="J240" i="6"/>
  <c r="E240" i="6"/>
  <c r="J239" i="6"/>
  <c r="E239" i="6"/>
  <c r="J238" i="6"/>
  <c r="E238" i="6"/>
  <c r="J237" i="6"/>
  <c r="E237" i="6"/>
  <c r="J236" i="6"/>
  <c r="E236" i="6"/>
  <c r="J235" i="6"/>
  <c r="E235" i="6"/>
  <c r="J234" i="6"/>
  <c r="E234" i="6"/>
  <c r="J233" i="6"/>
  <c r="E233" i="6"/>
  <c r="J232" i="6"/>
  <c r="E232" i="6"/>
  <c r="J231" i="6"/>
  <c r="E231" i="6"/>
  <c r="J230" i="6"/>
  <c r="E230" i="6"/>
  <c r="J229" i="6"/>
  <c r="E229" i="6"/>
  <c r="J228" i="6"/>
  <c r="E228" i="6"/>
  <c r="J227" i="6"/>
  <c r="E227" i="6"/>
  <c r="J226" i="6"/>
  <c r="E226" i="6"/>
  <c r="J225" i="6"/>
  <c r="E225" i="6"/>
  <c r="J224" i="6"/>
  <c r="E224" i="6"/>
  <c r="J223" i="6"/>
  <c r="E223" i="6"/>
  <c r="J222" i="6"/>
  <c r="E222" i="6"/>
  <c r="J221" i="6"/>
  <c r="E221" i="6"/>
  <c r="J220" i="6"/>
  <c r="E220" i="6"/>
  <c r="J219" i="6"/>
  <c r="E219" i="6"/>
  <c r="J218" i="6"/>
  <c r="E218" i="6"/>
  <c r="J217" i="6"/>
  <c r="J333" i="6" s="1"/>
  <c r="E217" i="6"/>
  <c r="J216" i="6"/>
  <c r="E216" i="6"/>
  <c r="J215" i="6"/>
  <c r="E215" i="6"/>
  <c r="J214" i="6"/>
  <c r="E214" i="6"/>
  <c r="O213" i="6"/>
  <c r="J213" i="6"/>
  <c r="E213" i="6"/>
  <c r="O212" i="6"/>
  <c r="O333" i="6" s="1"/>
  <c r="J212" i="6"/>
  <c r="E212" i="6"/>
  <c r="E211" i="6"/>
  <c r="O210" i="6"/>
  <c r="E210" i="6"/>
  <c r="E209" i="6"/>
  <c r="S208" i="6"/>
  <c r="O208" i="6"/>
  <c r="E208" i="6"/>
  <c r="E207" i="6"/>
  <c r="E206" i="6"/>
  <c r="O205" i="6"/>
  <c r="E205" i="6"/>
  <c r="O204" i="6"/>
  <c r="N204" i="6"/>
  <c r="M204" i="6"/>
  <c r="L204" i="6"/>
  <c r="K204" i="6"/>
  <c r="J204" i="6"/>
  <c r="I204" i="6"/>
  <c r="H204" i="6"/>
  <c r="E204" i="6"/>
  <c r="S203" i="6"/>
  <c r="R203" i="6"/>
  <c r="E203" i="6"/>
  <c r="S202" i="6"/>
  <c r="R202" i="6"/>
  <c r="E202" i="6"/>
  <c r="S201" i="6"/>
  <c r="R201" i="6"/>
  <c r="E201" i="6"/>
  <c r="S200" i="6"/>
  <c r="R200" i="6"/>
  <c r="E200" i="6"/>
  <c r="S199" i="6"/>
  <c r="R199" i="6"/>
  <c r="O199" i="6"/>
  <c r="E199" i="6"/>
  <c r="S198" i="6"/>
  <c r="R198" i="6"/>
  <c r="O198" i="6"/>
  <c r="E198" i="6"/>
  <c r="S197" i="6"/>
  <c r="R197" i="6"/>
  <c r="O197" i="6"/>
  <c r="E197" i="6"/>
  <c r="S196" i="6"/>
  <c r="R196" i="6"/>
  <c r="O196" i="6"/>
  <c r="E196" i="6"/>
  <c r="S195" i="6"/>
  <c r="R195" i="6"/>
  <c r="O195" i="6"/>
  <c r="E195" i="6"/>
  <c r="S194" i="6"/>
  <c r="R194" i="6"/>
  <c r="O194" i="6"/>
  <c r="E194" i="6"/>
  <c r="S193" i="6"/>
  <c r="R193" i="6"/>
  <c r="O193" i="6"/>
  <c r="E193" i="6"/>
  <c r="S192" i="6"/>
  <c r="S205" i="6" s="1"/>
  <c r="R192" i="6"/>
  <c r="O192" i="6"/>
  <c r="E192" i="6"/>
  <c r="E191" i="6"/>
  <c r="E190" i="6"/>
  <c r="E189" i="6"/>
  <c r="E188" i="6"/>
  <c r="E187" i="6"/>
  <c r="E186" i="6"/>
  <c r="L185" i="6"/>
  <c r="E185" i="6"/>
  <c r="E184" i="6"/>
  <c r="E183" i="6"/>
  <c r="E182" i="6"/>
  <c r="E181" i="6"/>
  <c r="L180" i="6"/>
  <c r="E180" i="6"/>
  <c r="E179" i="6"/>
  <c r="E178" i="6"/>
  <c r="E177" i="6"/>
  <c r="E176" i="6"/>
  <c r="L175" i="6"/>
  <c r="E175" i="6"/>
  <c r="E174" i="6"/>
  <c r="E173" i="6"/>
  <c r="E172" i="6"/>
  <c r="L171" i="6"/>
  <c r="E171" i="6"/>
  <c r="E170" i="6"/>
  <c r="E169" i="6"/>
  <c r="E168" i="6"/>
  <c r="E167" i="6"/>
  <c r="E166" i="6"/>
  <c r="E165" i="6"/>
  <c r="L164" i="6"/>
  <c r="E164" i="6"/>
  <c r="E163" i="6"/>
  <c r="E162" i="6"/>
  <c r="E161" i="6"/>
  <c r="E160" i="6"/>
  <c r="L159" i="6"/>
  <c r="E159" i="6"/>
  <c r="E158" i="6"/>
  <c r="E157" i="6"/>
  <c r="E156" i="6"/>
  <c r="E155" i="6"/>
  <c r="E154" i="6"/>
  <c r="E153" i="6"/>
  <c r="E152" i="6"/>
  <c r="L151" i="6"/>
  <c r="E151" i="6"/>
  <c r="E150" i="6"/>
  <c r="E149" i="6"/>
  <c r="E148" i="6"/>
  <c r="E147" i="6"/>
  <c r="E146" i="6"/>
  <c r="L145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N96" i="6"/>
  <c r="M96" i="6"/>
  <c r="L96" i="6"/>
  <c r="K96" i="6"/>
  <c r="J96" i="6"/>
  <c r="I96" i="6"/>
  <c r="E96" i="6"/>
  <c r="E95" i="6"/>
  <c r="E94" i="6"/>
  <c r="E93" i="6"/>
  <c r="E92" i="6"/>
  <c r="E91" i="6"/>
  <c r="E90" i="6"/>
  <c r="E89" i="6"/>
  <c r="N88" i="6"/>
  <c r="M88" i="6"/>
  <c r="L88" i="6"/>
  <c r="K88" i="6"/>
  <c r="J88" i="6"/>
  <c r="I88" i="6"/>
  <c r="E88" i="6"/>
  <c r="E87" i="6"/>
  <c r="O86" i="6"/>
  <c r="E86" i="6"/>
  <c r="O85" i="6"/>
  <c r="E85" i="6"/>
  <c r="O84" i="6"/>
  <c r="E84" i="6"/>
  <c r="E83" i="6"/>
  <c r="E82" i="6"/>
  <c r="E81" i="6"/>
  <c r="N80" i="6"/>
  <c r="M80" i="6"/>
  <c r="L80" i="6"/>
  <c r="K80" i="6"/>
  <c r="J80" i="6"/>
  <c r="I80" i="6"/>
  <c r="E80" i="6"/>
  <c r="E79" i="6"/>
  <c r="O78" i="6"/>
  <c r="E78" i="6"/>
  <c r="O77" i="6"/>
  <c r="E77" i="6"/>
  <c r="O76" i="6"/>
  <c r="E76" i="6"/>
  <c r="E75" i="6"/>
  <c r="E74" i="6"/>
  <c r="E73" i="6"/>
  <c r="N72" i="6"/>
  <c r="O69" i="6" s="1"/>
  <c r="M72" i="6"/>
  <c r="L72" i="6"/>
  <c r="K72" i="6"/>
  <c r="J72" i="6"/>
  <c r="I72" i="6"/>
  <c r="E72" i="6"/>
  <c r="E71" i="6"/>
  <c r="O70" i="6"/>
  <c r="E70" i="6"/>
  <c r="E69" i="6"/>
  <c r="O68" i="6"/>
  <c r="E68" i="6"/>
  <c r="E67" i="6"/>
  <c r="E66" i="6"/>
  <c r="N65" i="6"/>
  <c r="O61" i="6" s="1"/>
  <c r="M65" i="6"/>
  <c r="L65" i="6"/>
  <c r="K65" i="6"/>
  <c r="J65" i="6"/>
  <c r="I65" i="6"/>
  <c r="E65" i="6"/>
  <c r="E64" i="6"/>
  <c r="O63" i="6"/>
  <c r="E63" i="6"/>
  <c r="E62" i="6"/>
  <c r="E61" i="6"/>
  <c r="E60" i="6"/>
  <c r="E59" i="6"/>
  <c r="E58" i="6"/>
  <c r="E57" i="6"/>
  <c r="O56" i="6"/>
  <c r="E56" i="6"/>
  <c r="E55" i="6"/>
  <c r="O54" i="6"/>
  <c r="E54" i="6"/>
  <c r="E53" i="6"/>
  <c r="E52" i="6"/>
  <c r="E51" i="6"/>
  <c r="E50" i="6"/>
  <c r="O49" i="6"/>
  <c r="E49" i="6"/>
  <c r="O48" i="6"/>
  <c r="E48" i="6"/>
  <c r="O47" i="6"/>
  <c r="E47" i="6"/>
  <c r="E46" i="6"/>
  <c r="E45" i="6"/>
  <c r="E44" i="6"/>
  <c r="E333" i="6" s="1"/>
  <c r="V13" i="6"/>
  <c r="U13" i="6"/>
  <c r="T13" i="6"/>
  <c r="S13" i="6"/>
  <c r="R13" i="6"/>
  <c r="Q13" i="6"/>
  <c r="P13" i="6"/>
  <c r="O13" i="6"/>
  <c r="N13" i="6"/>
  <c r="M13" i="6"/>
  <c r="E12" i="6"/>
  <c r="E11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W127" i="3"/>
  <c r="V127" i="3"/>
  <c r="U127" i="3"/>
  <c r="S127" i="3"/>
  <c r="O127" i="3"/>
  <c r="M127" i="3"/>
  <c r="K127" i="3"/>
  <c r="W126" i="3"/>
  <c r="V126" i="3"/>
  <c r="U126" i="3"/>
  <c r="T126" i="3"/>
  <c r="T127" i="3" s="1"/>
  <c r="S126" i="3"/>
  <c r="R126" i="3"/>
  <c r="R127" i="3" s="1"/>
  <c r="Q126" i="3"/>
  <c r="Q127" i="3" s="1"/>
  <c r="P126" i="3"/>
  <c r="P127" i="3" s="1"/>
  <c r="O126" i="3"/>
  <c r="N126" i="3"/>
  <c r="N127" i="3" s="1"/>
  <c r="M126" i="3"/>
  <c r="L126" i="3"/>
  <c r="L127" i="3" s="1"/>
  <c r="K126" i="3"/>
  <c r="B102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X75" i="3" s="1"/>
  <c r="J75" i="3"/>
  <c r="E75" i="3"/>
  <c r="E74" i="3"/>
  <c r="X73" i="3"/>
  <c r="E73" i="3"/>
  <c r="X72" i="3"/>
  <c r="E72" i="3"/>
  <c r="X71" i="3"/>
  <c r="E71" i="3"/>
  <c r="X70" i="3"/>
  <c r="E70" i="3"/>
  <c r="X69" i="3"/>
  <c r="E69" i="3"/>
  <c r="X68" i="3"/>
  <c r="E68" i="3"/>
  <c r="X67" i="3"/>
  <c r="E67" i="3"/>
  <c r="X66" i="3"/>
  <c r="E66" i="3"/>
  <c r="X65" i="3"/>
  <c r="E65" i="3"/>
  <c r="X64" i="3"/>
  <c r="E64" i="3"/>
  <c r="E63" i="3"/>
  <c r="X62" i="3"/>
  <c r="E62" i="3"/>
  <c r="X61" i="3"/>
  <c r="E61" i="3"/>
  <c r="X60" i="3"/>
  <c r="E60" i="3"/>
  <c r="X59" i="3"/>
  <c r="E59" i="3"/>
  <c r="X58" i="3"/>
  <c r="E58" i="3"/>
  <c r="X57" i="3"/>
  <c r="E57" i="3"/>
  <c r="X56" i="3"/>
  <c r="E56" i="3"/>
  <c r="X55" i="3"/>
  <c r="E55" i="3"/>
  <c r="X54" i="3"/>
  <c r="E54" i="3"/>
  <c r="X53" i="3"/>
  <c r="E53" i="3"/>
  <c r="X52" i="3"/>
  <c r="E52" i="3"/>
  <c r="X51" i="3"/>
  <c r="E51" i="3"/>
  <c r="X50" i="3"/>
  <c r="E50" i="3"/>
  <c r="X49" i="3"/>
  <c r="E49" i="3"/>
  <c r="X48" i="3"/>
  <c r="E48" i="3"/>
  <c r="E47" i="3"/>
  <c r="X46" i="3"/>
  <c r="E46" i="3"/>
  <c r="E45" i="3"/>
  <c r="X44" i="3"/>
  <c r="E44" i="3"/>
  <c r="E43" i="3"/>
  <c r="E42" i="3"/>
  <c r="Y41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N46" i="2"/>
  <c r="O42" i="2" s="1"/>
  <c r="K46" i="2"/>
  <c r="L43" i="2" s="1"/>
  <c r="J46" i="2"/>
  <c r="H46" i="2"/>
  <c r="I39" i="2" s="1"/>
  <c r="G46" i="2"/>
  <c r="E46" i="2"/>
  <c r="F44" i="2" s="1"/>
  <c r="D46" i="2"/>
  <c r="I44" i="2"/>
  <c r="O43" i="2"/>
  <c r="I43" i="2"/>
  <c r="F43" i="2"/>
  <c r="I42" i="2"/>
  <c r="F42" i="2"/>
  <c r="M41" i="2"/>
  <c r="M46" i="2" s="1"/>
  <c r="O40" i="2"/>
  <c r="O39" i="2"/>
  <c r="L39" i="2"/>
  <c r="F39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AD11" i="2"/>
  <c r="AD10" i="2"/>
  <c r="AD8" i="2"/>
  <c r="Z9" i="1"/>
  <c r="AA7" i="1"/>
  <c r="Z7" i="1"/>
  <c r="U7" i="1"/>
  <c r="M7" i="1"/>
  <c r="I7" i="1"/>
  <c r="H7" i="1"/>
  <c r="G7" i="1"/>
  <c r="F7" i="1"/>
  <c r="E7" i="1"/>
  <c r="D7" i="1"/>
  <c r="C7" i="1"/>
  <c r="AA6" i="1"/>
  <c r="Z6" i="1"/>
  <c r="Y6" i="1"/>
  <c r="R6" i="1"/>
  <c r="O6" i="1"/>
  <c r="N6" i="1"/>
  <c r="M6" i="1"/>
  <c r="J6" i="1"/>
  <c r="C6" i="1"/>
  <c r="AA5" i="1"/>
  <c r="AA9" i="1" s="1"/>
  <c r="Z5" i="1"/>
  <c r="X5" i="1"/>
  <c r="X9" i="1" s="1"/>
  <c r="W5" i="1"/>
  <c r="W9" i="1" s="1"/>
  <c r="U5" i="1"/>
  <c r="U9" i="1" s="1"/>
  <c r="T5" i="1"/>
  <c r="R5" i="1"/>
  <c r="Q5" i="1"/>
  <c r="P5" i="1"/>
  <c r="M5" i="1"/>
  <c r="M9" i="1" s="1"/>
  <c r="I5" i="1"/>
  <c r="I9" i="1" s="1"/>
  <c r="H5" i="1"/>
  <c r="H9" i="1" s="1"/>
  <c r="G5" i="1"/>
  <c r="G9" i="1" s="1"/>
  <c r="E5" i="1"/>
  <c r="E9" i="1" s="1"/>
  <c r="D5" i="1"/>
  <c r="D9" i="1" s="1"/>
  <c r="C5" i="1"/>
  <c r="C9" i="1" s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H65" i="5"/>
  <c r="H64" i="5"/>
  <c r="AB59" i="5"/>
  <c r="X58" i="5"/>
  <c r="X7" i="1" s="1"/>
  <c r="U58" i="5"/>
  <c r="R58" i="5"/>
  <c r="R7" i="1" s="1"/>
  <c r="R9" i="1" s="1"/>
  <c r="O58" i="5"/>
  <c r="O7" i="1" s="1"/>
  <c r="N58" i="5"/>
  <c r="N7" i="1" s="1"/>
  <c r="M58" i="5"/>
  <c r="K58" i="5"/>
  <c r="K7" i="1" s="1"/>
  <c r="AC57" i="5"/>
  <c r="AC56" i="5"/>
  <c r="AC55" i="5"/>
  <c r="AC53" i="5"/>
  <c r="AC52" i="5"/>
  <c r="Y51" i="5"/>
  <c r="X51" i="5"/>
  <c r="X6" i="1" s="1"/>
  <c r="W51" i="5"/>
  <c r="W6" i="1" s="1"/>
  <c r="V51" i="5"/>
  <c r="V6" i="1" s="1"/>
  <c r="U51" i="5"/>
  <c r="U6" i="1" s="1"/>
  <c r="T51" i="5"/>
  <c r="T6" i="1" s="1"/>
  <c r="S51" i="5"/>
  <c r="S6" i="1" s="1"/>
  <c r="R51" i="5"/>
  <c r="Q51" i="5"/>
  <c r="Q6" i="1" s="1"/>
  <c r="P51" i="5"/>
  <c r="P6" i="1" s="1"/>
  <c r="O51" i="5"/>
  <c r="N51" i="5"/>
  <c r="M51" i="5"/>
  <c r="L51" i="5"/>
  <c r="L6" i="1" s="1"/>
  <c r="K51" i="5"/>
  <c r="K6" i="1" s="1"/>
  <c r="J51" i="5"/>
  <c r="I51" i="5"/>
  <c r="I6" i="1" s="1"/>
  <c r="H51" i="5"/>
  <c r="H6" i="1" s="1"/>
  <c r="G51" i="5"/>
  <c r="G6" i="1" s="1"/>
  <c r="F51" i="5"/>
  <c r="F6" i="1" s="1"/>
  <c r="E51" i="5"/>
  <c r="E6" i="1" s="1"/>
  <c r="D51" i="5"/>
  <c r="AC51" i="5" s="1"/>
  <c r="C51" i="5"/>
  <c r="AC49" i="5"/>
  <c r="AB49" i="5"/>
  <c r="AC48" i="5"/>
  <c r="AB48" i="5"/>
  <c r="AC47" i="5"/>
  <c r="AB47" i="5"/>
  <c r="AC46" i="5"/>
  <c r="AB46" i="5"/>
  <c r="AC45" i="5"/>
  <c r="AB45" i="5"/>
  <c r="AC44" i="5"/>
  <c r="AB44" i="5"/>
  <c r="AC43" i="5"/>
  <c r="AB43" i="5"/>
  <c r="AC42" i="5"/>
  <c r="AB42" i="5"/>
  <c r="AC41" i="5"/>
  <c r="AB41" i="5"/>
  <c r="AC40" i="5"/>
  <c r="AB40" i="5"/>
  <c r="AC39" i="5"/>
  <c r="AB39" i="5"/>
  <c r="AC38" i="5"/>
  <c r="AB38" i="5"/>
  <c r="AC37" i="5"/>
  <c r="AB37" i="5"/>
  <c r="AC36" i="5"/>
  <c r="AB36" i="5"/>
  <c r="AC35" i="5"/>
  <c r="AB35" i="5"/>
  <c r="AC34" i="5"/>
  <c r="AB34" i="5"/>
  <c r="AC33" i="5"/>
  <c r="AB33" i="5"/>
  <c r="AC32" i="5"/>
  <c r="AB32" i="5"/>
  <c r="AC31" i="5"/>
  <c r="AB31" i="5"/>
  <c r="AC30" i="5"/>
  <c r="AB30" i="5"/>
  <c r="AB51" i="5" s="1"/>
  <c r="AC29" i="5"/>
  <c r="AB29" i="5"/>
  <c r="AC28" i="5"/>
  <c r="AB28" i="5"/>
  <c r="AC27" i="5"/>
  <c r="AB27" i="5"/>
  <c r="AC26" i="5"/>
  <c r="AB26" i="5"/>
  <c r="AC24" i="5"/>
  <c r="AB24" i="5"/>
  <c r="AC23" i="5"/>
  <c r="AB23" i="5"/>
  <c r="AC22" i="5"/>
  <c r="AB22" i="5"/>
  <c r="AC21" i="5"/>
  <c r="AB21" i="5"/>
  <c r="AC20" i="5"/>
  <c r="AB20" i="5"/>
  <c r="AC19" i="5"/>
  <c r="AB19" i="5"/>
  <c r="AC18" i="5"/>
  <c r="AB18" i="5"/>
  <c r="AC17" i="5"/>
  <c r="AB17" i="5"/>
  <c r="AC16" i="5"/>
  <c r="AB16" i="5"/>
  <c r="AC15" i="5"/>
  <c r="AB15" i="5"/>
  <c r="Y13" i="5"/>
  <c r="Y58" i="5" s="1"/>
  <c r="Y7" i="1" s="1"/>
  <c r="X13" i="5"/>
  <c r="W13" i="5"/>
  <c r="W58" i="5" s="1"/>
  <c r="W7" i="1" s="1"/>
  <c r="V13" i="5"/>
  <c r="V5" i="1" s="1"/>
  <c r="U13" i="5"/>
  <c r="T13" i="5"/>
  <c r="S13" i="5"/>
  <c r="S5" i="1" s="1"/>
  <c r="R13" i="5"/>
  <c r="Q13" i="5"/>
  <c r="Q58" i="5" s="1"/>
  <c r="Q7" i="1" s="1"/>
  <c r="P13" i="5"/>
  <c r="O13" i="5"/>
  <c r="O5" i="1" s="1"/>
  <c r="N13" i="5"/>
  <c r="N5" i="1" s="1"/>
  <c r="M13" i="5"/>
  <c r="L13" i="5"/>
  <c r="L5" i="1" s="1"/>
  <c r="K13" i="5"/>
  <c r="K5" i="1" s="1"/>
  <c r="J13" i="5"/>
  <c r="J58" i="5" s="1"/>
  <c r="I13" i="5"/>
  <c r="H13" i="5"/>
  <c r="G13" i="5"/>
  <c r="AB13" i="5" s="1"/>
  <c r="F13" i="5"/>
  <c r="F5" i="1" s="1"/>
  <c r="F9" i="1" s="1"/>
  <c r="E13" i="5"/>
  <c r="D13" i="5"/>
  <c r="AC13" i="5" s="1"/>
  <c r="C13" i="5"/>
  <c r="AC12" i="5"/>
  <c r="AB12" i="5"/>
  <c r="AC11" i="5"/>
  <c r="AB11" i="5"/>
  <c r="AC10" i="5"/>
  <c r="AB10" i="5"/>
  <c r="AC9" i="5"/>
  <c r="AB9" i="5"/>
  <c r="AC8" i="5"/>
  <c r="AB8" i="5"/>
  <c r="AC7" i="5"/>
  <c r="AB7" i="5"/>
  <c r="AC6" i="5"/>
  <c r="AB6" i="5"/>
  <c r="AC5" i="5"/>
  <c r="AB5" i="5"/>
  <c r="M165" i="7" l="1"/>
  <c r="M178" i="7"/>
  <c r="F40" i="2"/>
  <c r="F41" i="2"/>
  <c r="AD13" i="2"/>
  <c r="I41" i="2"/>
  <c r="J7" i="1"/>
  <c r="L70" i="7"/>
  <c r="K9" i="1"/>
  <c r="L30" i="7"/>
  <c r="N9" i="1"/>
  <c r="O9" i="1"/>
  <c r="Q9" i="1"/>
  <c r="J8" i="9"/>
  <c r="J33" i="9" s="1"/>
  <c r="I33" i="9"/>
  <c r="K38" i="9"/>
  <c r="U41" i="8"/>
  <c r="P58" i="5"/>
  <c r="P7" i="1" s="1"/>
  <c r="P9" i="1" s="1"/>
  <c r="Y5" i="1"/>
  <c r="Y9" i="1" s="1"/>
  <c r="L188" i="6"/>
  <c r="K189" i="6" s="1"/>
  <c r="J5" i="1"/>
  <c r="J9" i="1" s="1"/>
  <c r="I40" i="2"/>
  <c r="Q30" i="9"/>
  <c r="Q33" i="9" s="1"/>
  <c r="G130" i="9"/>
  <c r="R28" i="9"/>
  <c r="R33" i="9" s="1"/>
  <c r="G160" i="9"/>
  <c r="F206" i="14"/>
  <c r="L40" i="2"/>
  <c r="H11" i="6"/>
  <c r="U18" i="8"/>
  <c r="D50" i="9" a="1"/>
  <c r="D50" i="9" s="1"/>
  <c r="G192" i="14"/>
  <c r="I192" i="14"/>
  <c r="H192" i="14"/>
  <c r="G214" i="14"/>
  <c r="I214" i="14"/>
  <c r="H214" i="14"/>
  <c r="M30" i="7"/>
  <c r="P33" i="9"/>
  <c r="G79" i="15"/>
  <c r="M70" i="7"/>
  <c r="K101" i="7"/>
  <c r="I181" i="7"/>
  <c r="D6" i="1"/>
  <c r="O44" i="2"/>
  <c r="M98" i="7"/>
  <c r="V58" i="5"/>
  <c r="V7" i="1" s="1"/>
  <c r="V9" i="1" s="1"/>
  <c r="K72" i="7"/>
  <c r="L98" i="7" s="1"/>
  <c r="N99" i="7" s="1"/>
  <c r="S58" i="5"/>
  <c r="S7" i="1" s="1"/>
  <c r="S9" i="1" s="1"/>
  <c r="L44" i="2"/>
  <c r="L41" i="2"/>
  <c r="K113" i="8"/>
  <c r="M99" i="8" s="1"/>
  <c r="D55" i="9" a="1"/>
  <c r="D55" i="9" s="1"/>
  <c r="G45" i="15"/>
  <c r="G44" i="15"/>
  <c r="G43" i="15"/>
  <c r="O33" i="9"/>
  <c r="B67" i="9"/>
  <c r="T58" i="5"/>
  <c r="T7" i="1" s="1"/>
  <c r="T9" i="1" s="1"/>
  <c r="O41" i="2"/>
  <c r="O62" i="6"/>
  <c r="F216" i="14"/>
  <c r="G184" i="14"/>
  <c r="I184" i="14"/>
  <c r="H184" i="14"/>
  <c r="F196" i="14"/>
  <c r="G98" i="9"/>
  <c r="G197" i="14"/>
  <c r="I197" i="14"/>
  <c r="H197" i="14"/>
  <c r="E298" i="14"/>
  <c r="L58" i="5"/>
  <c r="L7" i="1" s="1"/>
  <c r="L42" i="2"/>
  <c r="K170" i="7"/>
  <c r="L178" i="7" s="1"/>
  <c r="N179" i="7" s="1"/>
  <c r="AC75" i="9"/>
  <c r="AC94" i="9"/>
  <c r="W128" i="9"/>
  <c r="R205" i="6"/>
  <c r="G96" i="9"/>
  <c r="AC139" i="9"/>
  <c r="AC44" i="9"/>
  <c r="W64" i="9"/>
  <c r="AC46" i="9" s="1"/>
  <c r="AC83" i="9"/>
  <c r="G13" i="15"/>
  <c r="G12" i="15"/>
  <c r="G11" i="15"/>
  <c r="G61" i="15"/>
  <c r="G60" i="15"/>
  <c r="G59" i="15"/>
  <c r="L9" i="1"/>
  <c r="AC88" i="9"/>
  <c r="AC112" i="9"/>
  <c r="F187" i="14"/>
  <c r="F205" i="14"/>
  <c r="J4" i="11"/>
  <c r="J43" i="11" s="1"/>
  <c r="E182" i="14"/>
  <c r="F182" i="14" s="1"/>
  <c r="E187" i="14"/>
  <c r="E195" i="14"/>
  <c r="F195" i="14" s="1"/>
  <c r="E206" i="14"/>
  <c r="H56" i="15"/>
  <c r="K4" i="11"/>
  <c r="K43" i="11" s="1"/>
  <c r="H165" i="14"/>
  <c r="H166" i="14" s="1"/>
  <c r="H169" i="14" s="1"/>
  <c r="H74" i="15"/>
  <c r="M4" i="11"/>
  <c r="I165" i="14"/>
  <c r="I166" i="14" s="1"/>
  <c r="I169" i="14" s="1"/>
  <c r="H40" i="15"/>
  <c r="G98" i="15"/>
  <c r="H99" i="15" s="1"/>
  <c r="J101" i="15" s="1"/>
  <c r="W96" i="9"/>
  <c r="AC140" i="9" s="1"/>
  <c r="M5" i="11"/>
  <c r="M43" i="11" s="1"/>
  <c r="M165" i="14"/>
  <c r="M166" i="14" s="1"/>
  <c r="M169" i="14" s="1"/>
  <c r="E183" i="14"/>
  <c r="F183" i="14" s="1"/>
  <c r="H185" i="14"/>
  <c r="E191" i="14"/>
  <c r="F191" i="14" s="1"/>
  <c r="H193" i="14"/>
  <c r="E196" i="14"/>
  <c r="H204" i="14"/>
  <c r="E213" i="14"/>
  <c r="F213" i="14" s="1"/>
  <c r="H215" i="14"/>
  <c r="H8" i="15"/>
  <c r="G27" i="15"/>
  <c r="G28" i="15"/>
  <c r="E181" i="14"/>
  <c r="F181" i="14" s="1"/>
  <c r="E186" i="14"/>
  <c r="F186" i="14" s="1"/>
  <c r="E194" i="14"/>
  <c r="F194" i="14" s="1"/>
  <c r="E205" i="14"/>
  <c r="E216" i="14"/>
  <c r="G29" i="15"/>
  <c r="G30" i="15"/>
  <c r="D46" i="9" a="1"/>
  <c r="D46" i="9" s="1"/>
  <c r="I43" i="11"/>
  <c r="K181" i="7" l="1"/>
  <c r="N31" i="7"/>
  <c r="I182" i="14"/>
  <c r="H182" i="14"/>
  <c r="G182" i="14"/>
  <c r="I183" i="14"/>
  <c r="H183" i="14"/>
  <c r="G183" i="14"/>
  <c r="I213" i="14"/>
  <c r="H213" i="14"/>
  <c r="G213" i="14"/>
  <c r="I194" i="14"/>
  <c r="H194" i="14"/>
  <c r="G194" i="14"/>
  <c r="I186" i="14"/>
  <c r="H186" i="14"/>
  <c r="G186" i="14"/>
  <c r="I181" i="14"/>
  <c r="H181" i="14"/>
  <c r="G181" i="14"/>
  <c r="I195" i="14"/>
  <c r="H195" i="14"/>
  <c r="G195" i="14"/>
  <c r="I191" i="14"/>
  <c r="H191" i="14"/>
  <c r="G191" i="14"/>
  <c r="AC110" i="9"/>
  <c r="AC148" i="9"/>
  <c r="AC92" i="9"/>
  <c r="I205" i="14"/>
  <c r="H205" i="14"/>
  <c r="G205" i="14"/>
  <c r="AC136" i="9"/>
  <c r="AC114" i="9"/>
  <c r="AC109" i="9"/>
  <c r="AC156" i="9"/>
  <c r="AC151" i="9"/>
  <c r="AC108" i="9"/>
  <c r="AC118" i="9"/>
  <c r="AC126" i="9"/>
  <c r="AC121" i="9"/>
  <c r="AC84" i="9"/>
  <c r="AC155" i="9"/>
  <c r="AC150" i="9"/>
  <c r="AC107" i="9"/>
  <c r="AC147" i="9"/>
  <c r="AC142" i="9"/>
  <c r="AC91" i="9"/>
  <c r="AC146" i="9"/>
  <c r="AC90" i="9"/>
  <c r="AC141" i="9"/>
  <c r="AC77" i="9"/>
  <c r="AC113" i="9"/>
  <c r="I187" i="14"/>
  <c r="H187" i="14"/>
  <c r="G187" i="14"/>
  <c r="AC106" i="9"/>
  <c r="I196" i="14"/>
  <c r="H196" i="14"/>
  <c r="G196" i="14"/>
  <c r="AC85" i="9"/>
  <c r="L165" i="7"/>
  <c r="N166" i="7" s="1"/>
  <c r="M107" i="8"/>
  <c r="M111" i="8"/>
  <c r="M101" i="8"/>
  <c r="M109" i="8"/>
  <c r="M100" i="8"/>
  <c r="M108" i="8"/>
  <c r="M105" i="8"/>
  <c r="M110" i="8"/>
  <c r="H31" i="15"/>
  <c r="J33" i="15" s="1"/>
  <c r="AC76" i="9"/>
  <c r="G14" i="15"/>
  <c r="H15" i="15" s="1"/>
  <c r="J17" i="15" s="1"/>
  <c r="M104" i="8"/>
  <c r="AC138" i="9"/>
  <c r="P38" i="9"/>
  <c r="AC122" i="9"/>
  <c r="AC152" i="9"/>
  <c r="AC117" i="9"/>
  <c r="M103" i="8"/>
  <c r="AC82" i="9"/>
  <c r="AC89" i="9"/>
  <c r="AC80" i="9"/>
  <c r="AC137" i="9"/>
  <c r="N71" i="7"/>
  <c r="AC123" i="9"/>
  <c r="G46" i="15"/>
  <c r="H47" i="15" s="1"/>
  <c r="J49" i="15" s="1"/>
  <c r="L40" i="15" s="1"/>
  <c r="AC54" i="9"/>
  <c r="AC49" i="9"/>
  <c r="AC59" i="9"/>
  <c r="AC58" i="9"/>
  <c r="AC53" i="9"/>
  <c r="AC48" i="9"/>
  <c r="AC62" i="9"/>
  <c r="AC51" i="9"/>
  <c r="AC57" i="9"/>
  <c r="AC55" i="9"/>
  <c r="AC61" i="9"/>
  <c r="AC52" i="9"/>
  <c r="AC56" i="9"/>
  <c r="AC47" i="9"/>
  <c r="G78" i="15"/>
  <c r="G77" i="15"/>
  <c r="G76" i="15"/>
  <c r="H80" i="15" s="1"/>
  <c r="J82" i="15" s="1"/>
  <c r="AC86" i="9"/>
  <c r="AC111" i="9"/>
  <c r="G62" i="15"/>
  <c r="H63" i="15" s="1"/>
  <c r="J65" i="15" s="1"/>
  <c r="L56" i="15" s="1"/>
  <c r="AC116" i="9"/>
  <c r="I216" i="14"/>
  <c r="H216" i="14"/>
  <c r="G216" i="14"/>
  <c r="AC60" i="9"/>
  <c r="AC79" i="9"/>
  <c r="AC87" i="9"/>
  <c r="R45" i="8"/>
  <c r="M102" i="8"/>
  <c r="AC145" i="9"/>
  <c r="AB58" i="5"/>
  <c r="AC58" i="5"/>
  <c r="AC143" i="9"/>
  <c r="AC78" i="9"/>
  <c r="AC45" i="9"/>
  <c r="AC149" i="9"/>
  <c r="AC153" i="9"/>
  <c r="AC93" i="9"/>
  <c r="I206" i="14"/>
  <c r="H206" i="14"/>
  <c r="G206" i="14"/>
  <c r="AC120" i="9"/>
  <c r="AC124" i="9"/>
  <c r="AC81" i="9"/>
  <c r="M106" i="8"/>
  <c r="AC125" i="9"/>
  <c r="AC154" i="9"/>
  <c r="AC115" i="9"/>
  <c r="AC119" i="9"/>
  <c r="AC144" i="9"/>
  <c r="AC50" i="9"/>
  <c r="L24" i="15" l="1"/>
  <c r="L73" i="15"/>
  <c r="W15" i="8"/>
  <c r="W10" i="8"/>
  <c r="W40" i="8" s="1"/>
  <c r="W34" i="8"/>
  <c r="W14" i="8"/>
  <c r="W13" i="8"/>
  <c r="W21" i="8"/>
  <c r="W11" i="8"/>
  <c r="W27" i="8"/>
  <c r="W12" i="8"/>
  <c r="W37" i="8"/>
  <c r="W16" i="8"/>
  <c r="W31" i="8"/>
  <c r="W25" i="8"/>
  <c r="W24" i="8"/>
  <c r="W23" i="8"/>
  <c r="W35" i="8"/>
  <c r="W29" i="8"/>
  <c r="W33" i="8"/>
  <c r="W26" i="8"/>
  <c r="W30" i="8"/>
  <c r="W38" i="8"/>
  <c r="W22" i="8"/>
  <c r="W32" i="8"/>
  <c r="W36" i="8"/>
  <c r="W28" i="8"/>
  <c r="X41" i="8"/>
  <c r="X18" i="8"/>
  <c r="L93" i="1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<sst xmlns="http://schemas.openxmlformats.org/spreadsheetml/2006/main" count="3678" uniqueCount="1119">
  <si>
    <t>TOTALES</t>
  </si>
  <si>
    <t>Promedios</t>
  </si>
  <si>
    <t>Salario</t>
  </si>
  <si>
    <t>Salario (Pagas extraordinarias)</t>
  </si>
  <si>
    <t>Otros ingresos</t>
  </si>
  <si>
    <t>Reajuste del saldo</t>
  </si>
  <si>
    <t>Inversión</t>
  </si>
  <si>
    <t>Ayudas familiares</t>
  </si>
  <si>
    <t>Bolsa de Ahorro</t>
  </si>
  <si>
    <t>Varios</t>
  </si>
  <si>
    <t>TOTAL INGRESOS</t>
  </si>
  <si>
    <t>Ingresos 2003-2025</t>
  </si>
  <si>
    <t>Coche</t>
  </si>
  <si>
    <t>Gimnasios</t>
  </si>
  <si>
    <t>Plan de Ahorro / Inversion</t>
  </si>
  <si>
    <t>Traspaso Caixa Catalunya / BBVA</t>
  </si>
  <si>
    <t>Comida y bebida</t>
  </si>
  <si>
    <t>Primitiva y otras loterias</t>
  </si>
  <si>
    <t>Tfno, Agua, Gas, Luz, etc</t>
  </si>
  <si>
    <t>Otros</t>
  </si>
  <si>
    <t>Seguros (coche, vida, tarjetas)</t>
  </si>
  <si>
    <t>Asociaciones, subscripciones,…</t>
  </si>
  <si>
    <t>Netflix, Google, MS</t>
  </si>
  <si>
    <t>Alquiler</t>
  </si>
  <si>
    <t>Salud y cuidado personal</t>
  </si>
  <si>
    <t>Averías (fontanería, etc.)</t>
  </si>
  <si>
    <t>Material oficina (cuadernos, salidas, etc.)</t>
  </si>
  <si>
    <t>Gastos trabajo</t>
  </si>
  <si>
    <t>(no contabilizables)</t>
  </si>
  <si>
    <t>Regalos (cumpleaños, reyes, …)</t>
  </si>
  <si>
    <t>Ocio (salidas, cenas, revistas,...)</t>
  </si>
  <si>
    <t>Ropa y calzado</t>
  </si>
  <si>
    <t>Vacaciones</t>
  </si>
  <si>
    <t>Reparaciones del automóvil</t>
  </si>
  <si>
    <t>Libros</t>
  </si>
  <si>
    <t>Automóvil (combustible + párking)</t>
  </si>
  <si>
    <t>Otros medios de transporte (tren, metro,...)</t>
  </si>
  <si>
    <t>Material Deportivo</t>
  </si>
  <si>
    <t>Viajes Personales, Excursiones</t>
  </si>
  <si>
    <t>Videos, revistas, periodicos y colecciones</t>
  </si>
  <si>
    <t>Formación</t>
  </si>
  <si>
    <t>Tecnologia, Electronica, Informatica</t>
  </si>
  <si>
    <t>Utensilios</t>
  </si>
  <si>
    <t>Hacienda y otros impuestos</t>
  </si>
  <si>
    <t>Hogar, Mudanzas, Muebles</t>
  </si>
  <si>
    <t>Niños</t>
  </si>
  <si>
    <t>Comisión Préstamo</t>
  </si>
  <si>
    <t>TOTAL GASTOS</t>
  </si>
  <si>
    <t>Gastos 2003-2024</t>
  </si>
  <si>
    <t>Promedio Caixa Catalunya</t>
  </si>
  <si>
    <t>Promedio Cuenta Corriente</t>
  </si>
  <si>
    <t>Promedio Gastos mensuales</t>
  </si>
  <si>
    <t>Promedio Ahorros totales</t>
  </si>
  <si>
    <t>Promedio Resto</t>
  </si>
  <si>
    <t>RESTO Ingresos - Gastos</t>
  </si>
  <si>
    <t>Ahorro 2003-2024</t>
  </si>
  <si>
    <t>años</t>
  </si>
  <si>
    <t>Financial Dashboard</t>
  </si>
  <si>
    <t>Year</t>
  </si>
  <si>
    <t>Total Income</t>
  </si>
  <si>
    <t>Total Expenses</t>
  </si>
  <si>
    <t>Net Savings</t>
  </si>
  <si>
    <t>Savings Margin (%)</t>
  </si>
  <si>
    <t>FINANZAS DOMÉSTICAS 2002 - 2026</t>
  </si>
  <si>
    <t>Años</t>
  </si>
  <si>
    <t>Ingresos</t>
  </si>
  <si>
    <t>(netos)</t>
  </si>
  <si>
    <t>Gastos</t>
  </si>
  <si>
    <t>Resto</t>
  </si>
  <si>
    <t>SVS</t>
  </si>
  <si>
    <t>Trak</t>
  </si>
  <si>
    <t>Olivia</t>
  </si>
  <si>
    <t>MIPS</t>
  </si>
  <si>
    <t>Novartis</t>
  </si>
  <si>
    <t>Nexus</t>
  </si>
  <si>
    <t>Sept</t>
  </si>
  <si>
    <t>Ene</t>
  </si>
  <si>
    <t>Cuenta Corriente</t>
  </si>
  <si>
    <t>Cuenta BBVA</t>
  </si>
  <si>
    <t>ETFs y acciones(*)</t>
  </si>
  <si>
    <t>(DeGiro + BrokerNow)</t>
  </si>
  <si>
    <t>Fondo BBVA</t>
  </si>
  <si>
    <t>(BBVA Futuro Sostenible ISR FI)</t>
  </si>
  <si>
    <t>PP La Caixa</t>
  </si>
  <si>
    <t>(CABK Tendencias Renta Variable)</t>
  </si>
  <si>
    <t>PPE Santander</t>
  </si>
  <si>
    <t>TOTAL</t>
  </si>
  <si>
    <t>(*)</t>
  </si>
  <si>
    <t>DeGiro, BrokerNow</t>
  </si>
  <si>
    <t>BrokerNow</t>
  </si>
  <si>
    <t>DeGiro</t>
  </si>
  <si>
    <t>Ahorro</t>
  </si>
  <si>
    <t>CC</t>
  </si>
  <si>
    <t>Total</t>
  </si>
  <si>
    <t>minimo</t>
  </si>
  <si>
    <t xml:space="preserve">      A partir de 2016 Ahorro = SIAL + Plazo Fijo + Plan Pensiones</t>
  </si>
  <si>
    <t>A partir del 2016 Ahorro = SIAL + Deposito + PlanJubilacion</t>
  </si>
  <si>
    <t>Total Ingresos</t>
  </si>
  <si>
    <t>Hacienda</t>
  </si>
  <si>
    <t>Ahorro e Inversion</t>
  </si>
  <si>
    <t>Automovil</t>
  </si>
  <si>
    <t>Compra/Renting</t>
  </si>
  <si>
    <t>COCHE</t>
  </si>
  <si>
    <t>Combustible</t>
  </si>
  <si>
    <t>Impuestos</t>
  </si>
  <si>
    <t>Mantenimiento</t>
  </si>
  <si>
    <t>Parking,Peajes</t>
  </si>
  <si>
    <t>Dietas</t>
  </si>
  <si>
    <t>SUPER</t>
  </si>
  <si>
    <t>Gimnasios y ropa dep</t>
  </si>
  <si>
    <t>DEPORTE</t>
  </si>
  <si>
    <t xml:space="preserve">Libros, colecciones, papeleria </t>
  </si>
  <si>
    <t>Agua, Luz, Gas</t>
  </si>
  <si>
    <t>AGUA LUZ GAS</t>
  </si>
  <si>
    <t>Telefonía</t>
  </si>
  <si>
    <t>TELECO</t>
  </si>
  <si>
    <t>ALQUILER</t>
  </si>
  <si>
    <t>Hogar y vestuario</t>
  </si>
  <si>
    <t>HOGAR</t>
  </si>
  <si>
    <t>NIÑOS</t>
  </si>
  <si>
    <t>IMPUESTOS</t>
  </si>
  <si>
    <t>Loteria</t>
  </si>
  <si>
    <t>LOTERIA</t>
  </si>
  <si>
    <t>Ocio</t>
  </si>
  <si>
    <t>General</t>
  </si>
  <si>
    <t>OCIO</t>
  </si>
  <si>
    <t>OCIO2</t>
  </si>
  <si>
    <t>Regalos</t>
  </si>
  <si>
    <t>REGALOS</t>
  </si>
  <si>
    <t>Salud y cosmetica</t>
  </si>
  <si>
    <t>SALUD</t>
  </si>
  <si>
    <t>Seguros</t>
  </si>
  <si>
    <t>SEGUROS</t>
  </si>
  <si>
    <t>Tecnología</t>
  </si>
  <si>
    <t>TECNOLOGIA</t>
  </si>
  <si>
    <t>Planes de ahorro y transferencias</t>
  </si>
  <si>
    <t>TRANSFERENCIA</t>
  </si>
  <si>
    <t>Transporte</t>
  </si>
  <si>
    <t>TRANSPORTE</t>
  </si>
  <si>
    <t>Viajes y vacaciones</t>
  </si>
  <si>
    <t>VACACIONES</t>
  </si>
  <si>
    <t>TOTAL Gastos</t>
  </si>
  <si>
    <t>Promedios mensuales</t>
  </si>
  <si>
    <t xml:space="preserve">Salario </t>
  </si>
  <si>
    <t>Ingresos de origen familiar</t>
  </si>
  <si>
    <t>maximo</t>
  </si>
  <si>
    <t>Traspasos y planes de ahorro</t>
  </si>
  <si>
    <t>Teléfono y otros gastos domésticos</t>
  </si>
  <si>
    <t>Seguros (coche, decesos,hogar)</t>
  </si>
  <si>
    <t>(e inversion)</t>
  </si>
  <si>
    <t>Regalos (cumpleaños, reyes, sobrinos,...)</t>
  </si>
  <si>
    <t>Ocio (salidas, cenas, cine,...)</t>
  </si>
  <si>
    <t>Encuadernaciones apuntes</t>
  </si>
  <si>
    <t>Utensilios de viaje</t>
  </si>
  <si>
    <t>Hogar, Mudanzas</t>
  </si>
  <si>
    <t xml:space="preserve">Otros  </t>
  </si>
  <si>
    <t>Asociaciones</t>
  </si>
  <si>
    <t>GASTOS TOTALES</t>
  </si>
  <si>
    <t>RESTO</t>
  </si>
  <si>
    <t>Año ▾</t>
  </si>
  <si>
    <t>Mes</t>
  </si>
  <si>
    <t>Diferencia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</si>
  <si>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</si>
  <si>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</si>
  <si>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</si>
  <si>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</si>
  <si>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</si>
  <si>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</si>
  <si>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</si>
  <si>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</si>
  <si>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</si>
  <si>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</si>
  <si>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</si>
  <si>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</si>
  <si>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</si>
  <si>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Total:</t>
  </si>
  <si>
    <t>Categoría</t>
  </si>
  <si>
    <t>Importe</t>
  </si>
  <si>
    <t>Automovil:Combustible</t>
  </si>
  <si>
    <t>Automovil:Compra/Renting</t>
  </si>
  <si>
    <t>Ahorro-Inversion</t>
  </si>
  <si>
    <t>Automovil:Impuestos</t>
  </si>
  <si>
    <t>Automovil:Mantenimiento</t>
  </si>
  <si>
    <t>Automovil:Parking-Peajes</t>
  </si>
  <si>
    <t>Total categoría:</t>
  </si>
  <si>
    <t>Comida:Dietas</t>
  </si>
  <si>
    <t>Deporte:Gimnasio</t>
  </si>
  <si>
    <t>Deporte:Ropa</t>
  </si>
  <si>
    <t>Formacion-Cultura:Papeleria</t>
  </si>
  <si>
    <t>GastoFijoMensual:Agua</t>
  </si>
  <si>
    <t>GastoFijoMensual:Telefono</t>
  </si>
  <si>
    <t>GastoFijoMensual:Alquiler</t>
  </si>
  <si>
    <t>GastoFijoMensual:Electricidad</t>
  </si>
  <si>
    <t>GastoFijoMensual:Gas</t>
  </si>
  <si>
    <t>Hogar y Vestuario:Ropa</t>
  </si>
  <si>
    <t>Hogar y Vestuario:Mobiliario</t>
  </si>
  <si>
    <t>Hogar y Vestuario:Niños</t>
  </si>
  <si>
    <t>Impuestos:Hacienda</t>
  </si>
  <si>
    <t>Ingresos:Salario</t>
  </si>
  <si>
    <t>Hogar y Vestuario:Varios</t>
  </si>
  <si>
    <t>Ocio:Revistas-Colecciones</t>
  </si>
  <si>
    <t>Ocio:FinSemana y Festivos</t>
  </si>
  <si>
    <t>Ocio:Otros</t>
  </si>
  <si>
    <t>Salud:Farmacos</t>
  </si>
  <si>
    <t>Salud:Cosmetica</t>
  </si>
  <si>
    <t>Seguros:Hogar</t>
  </si>
  <si>
    <t>Seguros:Decesos</t>
  </si>
  <si>
    <t>Tecnologia</t>
  </si>
  <si>
    <t>Transferencia</t>
  </si>
  <si>
    <t>Tren-metro-bus</t>
  </si>
  <si>
    <t>Total Expenses:</t>
  </si>
  <si>
    <t>Total Income:</t>
  </si>
  <si>
    <t>Suma total:</t>
  </si>
  <si>
    <t>Total INGRESOS</t>
  </si>
  <si>
    <t>Saldo TOTAL</t>
  </si>
  <si>
    <t>Total GASTOS</t>
  </si>
  <si>
    <t>Ene 91</t>
  </si>
  <si>
    <t>Concepto</t>
  </si>
  <si>
    <t>Mar</t>
  </si>
  <si>
    <t>May</t>
  </si>
  <si>
    <t>Jul</t>
  </si>
  <si>
    <t>Oct</t>
  </si>
  <si>
    <t>Dic</t>
  </si>
  <si>
    <t>SIAL</t>
  </si>
  <si>
    <t>PP</t>
  </si>
  <si>
    <t xml:space="preserve">TOTAL      </t>
  </si>
  <si>
    <t>---</t>
  </si>
  <si>
    <t>Ene 92</t>
  </si>
  <si>
    <t>PP (1)</t>
  </si>
  <si>
    <t>INV (2)</t>
  </si>
  <si>
    <t>Ene 93</t>
  </si>
  <si>
    <t>Ene 94</t>
  </si>
  <si>
    <t>(maximo)</t>
  </si>
  <si>
    <t>Ene 95</t>
  </si>
  <si>
    <t>(1) PP Caixabank + Santander</t>
  </si>
  <si>
    <t>(2) Inversion Degiro + BBVA (FTEs + Fondo) + Ocean Broker</t>
  </si>
  <si>
    <t>Ene 96</t>
  </si>
  <si>
    <t>Ene 97</t>
  </si>
  <si>
    <t>Ene 98</t>
  </si>
  <si>
    <t>Estimación de Gasto Mensual</t>
  </si>
  <si>
    <t>CONCEPTO</t>
  </si>
  <si>
    <t>Estimacion Mensual</t>
  </si>
  <si>
    <t>Injgresos promedio</t>
  </si>
  <si>
    <t>Ingresos:Varios</t>
  </si>
  <si>
    <t>Ene 99</t>
  </si>
  <si>
    <t>Agua</t>
  </si>
  <si>
    <t>Electricidad</t>
  </si>
  <si>
    <t>Gas</t>
  </si>
  <si>
    <t>Telefono</t>
  </si>
  <si>
    <t>Subtotal</t>
  </si>
  <si>
    <t>Cuotas coche</t>
  </si>
  <si>
    <t>Impuesto circulacion</t>
  </si>
  <si>
    <t>Automovil: Mantenimiento</t>
  </si>
  <si>
    <t>Parking, Peajes, Bono BSM</t>
  </si>
  <si>
    <t>Ene 00</t>
  </si>
  <si>
    <t>Loterias</t>
  </si>
  <si>
    <t>Inversion</t>
  </si>
  <si>
    <t>Gimnasio</t>
  </si>
  <si>
    <t>Ropa</t>
  </si>
  <si>
    <t>Formacion</t>
  </si>
  <si>
    <t>Papeleria</t>
  </si>
  <si>
    <t>Mobiliario</t>
  </si>
  <si>
    <t>Ropa, Zapatos</t>
  </si>
  <si>
    <t>Ene 01</t>
  </si>
  <si>
    <t>Restaurantes y bares</t>
  </si>
  <si>
    <t>Exposiciones</t>
  </si>
  <si>
    <t>Fin de semana y Festivos</t>
  </si>
  <si>
    <t>Revistas, Colecciones</t>
  </si>
  <si>
    <t>Estetica y peluqueria</t>
  </si>
  <si>
    <t>Farmacos</t>
  </si>
  <si>
    <t>Ene 02</t>
  </si>
  <si>
    <t>Seguros: Auto</t>
  </si>
  <si>
    <t>Seguros: Decesos</t>
  </si>
  <si>
    <t>Seguros: Tarjetas</t>
  </si>
  <si>
    <t>Informatica-Tecnologia</t>
  </si>
  <si>
    <t>NetFlix,Amazon Prime</t>
  </si>
  <si>
    <t>Ene 03</t>
  </si>
  <si>
    <t>Promedios 2017-2022</t>
  </si>
  <si>
    <t xml:space="preserve">GASTOS FIJOS </t>
  </si>
  <si>
    <t>OcioFinde</t>
  </si>
  <si>
    <t>BarCafes</t>
  </si>
  <si>
    <t>Super</t>
  </si>
  <si>
    <t>Gym</t>
  </si>
  <si>
    <t>Hijos</t>
  </si>
  <si>
    <t>Estimado</t>
  </si>
  <si>
    <t>Feb</t>
  </si>
  <si>
    <t>Abr</t>
  </si>
  <si>
    <t>Jun</t>
  </si>
  <si>
    <t>Ago</t>
  </si>
  <si>
    <t>Ene 04</t>
  </si>
  <si>
    <t>Sep</t>
  </si>
  <si>
    <t>Nov</t>
  </si>
  <si>
    <t>PROMEDIO</t>
  </si>
  <si>
    <t>Redondeo</t>
  </si>
  <si>
    <t>Tfno</t>
  </si>
  <si>
    <t>Suscripciones</t>
  </si>
  <si>
    <t>Mensual</t>
  </si>
  <si>
    <t>Promedio Salario 2022</t>
  </si>
  <si>
    <t xml:space="preserve">TOTAL GASTOS FIJOS </t>
  </si>
  <si>
    <t>Ene 05</t>
  </si>
  <si>
    <t>Ene 15</t>
  </si>
  <si>
    <t>Ene 26</t>
  </si>
  <si>
    <t>Ene 06</t>
  </si>
  <si>
    <t>Ene 16</t>
  </si>
  <si>
    <t>Ene 27</t>
  </si>
  <si>
    <t>Ene 07</t>
  </si>
  <si>
    <t>Ene 17</t>
  </si>
  <si>
    <t>Ene 08</t>
  </si>
  <si>
    <t>Ene 18</t>
  </si>
  <si>
    <t>Ene 09</t>
  </si>
  <si>
    <t>Ene 19</t>
  </si>
  <si>
    <t>Ene 10</t>
  </si>
  <si>
    <t>Ene 20</t>
  </si>
  <si>
    <t>Ene 11</t>
  </si>
  <si>
    <t>Ene 22</t>
  </si>
  <si>
    <t>Ene 12</t>
  </si>
  <si>
    <t>Ene 23</t>
  </si>
  <si>
    <t>Ene 13</t>
  </si>
  <si>
    <t>Ene 24</t>
  </si>
  <si>
    <t>Ene 14</t>
  </si>
  <si>
    <t>Ene 25</t>
  </si>
  <si>
    <t>Fecha</t>
  </si>
  <si>
    <t>Producto</t>
  </si>
  <si>
    <t>ISIN</t>
  </si>
  <si>
    <t xml:space="preserve">Bolsa </t>
  </si>
  <si>
    <t>Centro</t>
  </si>
  <si>
    <t>Número</t>
  </si>
  <si>
    <t>Precio</t>
  </si>
  <si>
    <t>Valor local</t>
  </si>
  <si>
    <t xml:space="preserve">Costes transac. </t>
  </si>
  <si>
    <t>LOGISTA</t>
  </si>
  <si>
    <t>ES0105027009</t>
  </si>
  <si>
    <t>MAD</t>
  </si>
  <si>
    <t>XMAD</t>
  </si>
  <si>
    <t>Kraft Heinz Co</t>
  </si>
  <si>
    <t>US5007541064</t>
  </si>
  <si>
    <t>TDG</t>
  </si>
  <si>
    <t>XGAT</t>
  </si>
  <si>
    <t>ELECNOR</t>
  </si>
  <si>
    <t>ES0129743318</t>
  </si>
  <si>
    <t>ISHARES PROP GLO</t>
  </si>
  <si>
    <t>IE00B1FZS350</t>
  </si>
  <si>
    <t>EAM</t>
  </si>
  <si>
    <t>XAMS</t>
  </si>
  <si>
    <t>Año V</t>
  </si>
  <si>
    <t>DIAGEO</t>
  </si>
  <si>
    <t>GB0002374006</t>
  </si>
  <si>
    <t>comprobacion</t>
  </si>
  <si>
    <t>CUSTODIA DE VALORES</t>
  </si>
  <si>
    <t>******</t>
  </si>
  <si>
    <t>----</t>
  </si>
  <si>
    <t>Gasto</t>
  </si>
  <si>
    <t>Cartera</t>
  </si>
  <si>
    <t>Costes(comisiones)</t>
  </si>
  <si>
    <t>AT&amp;T INC</t>
  </si>
  <si>
    <t>US00206R1023</t>
  </si>
  <si>
    <t>ISHARES STOXX EUROPE 600 UCITS ETF (DE)</t>
  </si>
  <si>
    <t>DE0002635307</t>
  </si>
  <si>
    <t>XET</t>
  </si>
  <si>
    <t>XETA</t>
  </si>
  <si>
    <t>RED ELECTRICA</t>
  </si>
  <si>
    <t>ES0173093024</t>
  </si>
  <si>
    <t>COMCAST CORP</t>
  </si>
  <si>
    <t>US20030N1019</t>
  </si>
  <si>
    <t>ENAGAS</t>
  </si>
  <si>
    <t>ES0130960018</t>
  </si>
  <si>
    <t>INVESCO S&amp;P 500 HIGH DIV LOW VOL UCITS ETF DIS</t>
  </si>
  <si>
    <t>IE00BWTN6Y99</t>
  </si>
  <si>
    <t>PFIZER</t>
  </si>
  <si>
    <t>US7170811035</t>
  </si>
  <si>
    <t>XETB</t>
  </si>
  <si>
    <t>IBERDROLA</t>
  </si>
  <si>
    <t>ES0144580Y14</t>
  </si>
  <si>
    <t>VERIZON COMMUNICATIONS INC</t>
  </si>
  <si>
    <t>US92343V1044</t>
  </si>
  <si>
    <t>SHELL PLC</t>
  </si>
  <si>
    <t>GB00BP6MXD84</t>
  </si>
  <si>
    <t>ACS</t>
  </si>
  <si>
    <t>ES0167050915</t>
  </si>
  <si>
    <t>LTC PROPERTIES INC</t>
  </si>
  <si>
    <t>US5021751020</t>
  </si>
  <si>
    <t>INTEL CORP</t>
  </si>
  <si>
    <t>US4581401001</t>
  </si>
  <si>
    <t>UNILEVER</t>
  </si>
  <si>
    <t>GB00B10RZP78</t>
  </si>
  <si>
    <t>Año IV</t>
  </si>
  <si>
    <t>WALGREENS BOOTS ALLIANCE INC</t>
  </si>
  <si>
    <t>US9314271084</t>
  </si>
  <si>
    <t>ISHARES MSCI WOR D</t>
  </si>
  <si>
    <t>IE00B0M62Q58</t>
  </si>
  <si>
    <t>GRIFOLS SA</t>
  </si>
  <si>
    <t>ES0171996087</t>
  </si>
  <si>
    <t>COMISION DEGIRO</t>
  </si>
  <si>
    <t>Año III</t>
  </si>
  <si>
    <t>********</t>
  </si>
  <si>
    <t>ISHARES MSCI WOR A</t>
  </si>
  <si>
    <t>IE00B4L5Y983</t>
  </si>
  <si>
    <t>Venta de todo MSCI WORLD</t>
  </si>
  <si>
    <t>Grifols SA</t>
  </si>
  <si>
    <t>03-04-2023</t>
  </si>
  <si>
    <t>ISHARES MSCI EM A</t>
  </si>
  <si>
    <t>IE00B4L5YC18</t>
  </si>
  <si>
    <t>31-03-2023</t>
  </si>
  <si>
    <t>30-03-2023</t>
  </si>
  <si>
    <t>29-03-2023</t>
  </si>
  <si>
    <t>27-03-2023</t>
  </si>
  <si>
    <t>24-03-2023</t>
  </si>
  <si>
    <t>02-03-2023</t>
  </si>
  <si>
    <t>21-02-2023</t>
  </si>
  <si>
    <t>17-02-2023</t>
  </si>
  <si>
    <t>01-02-2023</t>
  </si>
  <si>
    <t>02-01-2023</t>
  </si>
  <si>
    <t>Año II</t>
  </si>
  <si>
    <t>02-12-2022</t>
  </si>
  <si>
    <t>01-11-2022</t>
  </si>
  <si>
    <t>03-10-2022</t>
  </si>
  <si>
    <t>07-09-2022</t>
  </si>
  <si>
    <t>Año I</t>
  </si>
  <si>
    <t>Costes</t>
  </si>
  <si>
    <t>Ordenes</t>
  </si>
  <si>
    <t xml:space="preserve">TOTALES  </t>
  </si>
  <si>
    <t xml:space="preserve">Costes  </t>
  </si>
  <si>
    <t>Google Finance</t>
  </si>
  <si>
    <t>Yahoo Finanzas</t>
  </si>
  <si>
    <t>CARTERA DE INVERSION</t>
  </si>
  <si>
    <t>Symbol</t>
  </si>
  <si>
    <t>Title</t>
  </si>
  <si>
    <t>Shares</t>
  </si>
  <si>
    <t>Precio actual</t>
  </si>
  <si>
    <t>Dividend</t>
  </si>
  <si>
    <t>%</t>
  </si>
  <si>
    <t>ESTIMACIONES ANUALES (por acción)</t>
  </si>
  <si>
    <t>ETFs y PP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</si>
  <si>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</si>
  <si>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</si>
  <si>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</si>
  <si>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</si>
  <si>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</si>
  <si>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</si>
  <si>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</si>
  <si>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</si>
  <si>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</si>
  <si>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</si>
  <si>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</si>
  <si>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</si>
  <si>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ETF/FONDO</t>
  </si>
  <si>
    <t>TÍTULO</t>
  </si>
  <si>
    <t>SIMBOL</t>
  </si>
  <si>
    <t>EUR</t>
  </si>
  <si>
    <t>Novartis PPE</t>
  </si>
  <si>
    <t>SANTANDER PPE</t>
  </si>
  <si>
    <t>NO</t>
  </si>
  <si>
    <t>HDLV.DE</t>
  </si>
  <si>
    <t xml:space="preserve"> </t>
  </si>
  <si>
    <t>Xxx</t>
  </si>
  <si>
    <t>BBVA FS</t>
  </si>
  <si>
    <t>Futuro:bono Nocional Usa 10 Años Física</t>
  </si>
  <si>
    <t>N/A</t>
  </si>
  <si>
    <t>10.09%</t>
  </si>
  <si>
    <t>0P0000RYC6.F</t>
  </si>
  <si>
    <t>CAIXABANK Tendencias PP</t>
  </si>
  <si>
    <t>IWDP.AS</t>
  </si>
  <si>
    <t>Futuro:bono Nocional Aleman 10 Años Física</t>
  </si>
  <si>
    <t>8.10%</t>
  </si>
  <si>
    <t>0P00000VSG.F</t>
  </si>
  <si>
    <t>EXSA.DE</t>
  </si>
  <si>
    <t>Xtrackers MSCI World ETF 1C</t>
  </si>
  <si>
    <t>XDWD.IR</t>
  </si>
  <si>
    <t>5.62%</t>
  </si>
  <si>
    <t>YES</t>
  </si>
  <si>
    <t>IWRD.AS</t>
  </si>
  <si>
    <t>iShares Core MSCI World ETF USD Acc</t>
  </si>
  <si>
    <t>IWDA</t>
  </si>
  <si>
    <t>Amundi MSCI Wld Climt Trnstn CTB ETFDR €</t>
  </si>
  <si>
    <t>LWCR.IR</t>
  </si>
  <si>
    <t>4.47%</t>
  </si>
  <si>
    <t>Futuro:msci World Nr</t>
  </si>
  <si>
    <t>4.45%</t>
  </si>
  <si>
    <t>Xtrackers MSCI WORLD ESG ETF 1C</t>
  </si>
  <si>
    <t>XZW0</t>
  </si>
  <si>
    <t>3.54%</t>
  </si>
  <si>
    <t>iShares JP Morgan $ EM Bd ETF USD Acc</t>
  </si>
  <si>
    <t>JPEA</t>
  </si>
  <si>
    <t>3.50%</t>
  </si>
  <si>
    <t>Total ETFs, Fondos y Planes</t>
  </si>
  <si>
    <t>BNPP Insticash EUR 1D ST VNAV I Cap</t>
  </si>
  <si>
    <t>3.48%</t>
  </si>
  <si>
    <t>ACCIONES</t>
  </si>
  <si>
    <t>FONDO:BETAMINER BEHEDGED</t>
  </si>
  <si>
    <t>2.45%</t>
  </si>
  <si>
    <t>CABK</t>
  </si>
  <si>
    <t>CS (Lux) Digital Health Equity IB USD</t>
  </si>
  <si>
    <t>6.40%</t>
  </si>
  <si>
    <t>Invesco Glbl Consmr Trnds C USD Acc</t>
  </si>
  <si>
    <t>5.94%</t>
  </si>
  <si>
    <t>RobecoSAM Smart Materials Eqs I EUR</t>
  </si>
  <si>
    <t>4.44%</t>
  </si>
  <si>
    <t>Pictet - Robotics I EUR</t>
  </si>
  <si>
    <t>4.41%</t>
  </si>
  <si>
    <t>JPM Global Natural Resources C (acc) USD</t>
  </si>
  <si>
    <t>4.04%</t>
  </si>
  <si>
    <t>REDEIA</t>
  </si>
  <si>
    <t>BGF Sustainable Energy A2</t>
  </si>
  <si>
    <t>3.91%</t>
  </si>
  <si>
    <t>Nordea 1 - Global Climate &amp; Envir BI EUR</t>
  </si>
  <si>
    <t>Robeco New World Financials I $</t>
  </si>
  <si>
    <t>ATT</t>
  </si>
  <si>
    <t>BNP Paribas Aqua I C</t>
  </si>
  <si>
    <t>3.72%</t>
  </si>
  <si>
    <t>INTEL</t>
  </si>
  <si>
    <t>Franklin Technology I Acc EUR</t>
  </si>
  <si>
    <t>3.71%</t>
  </si>
  <si>
    <t>KRAFT</t>
  </si>
  <si>
    <t>EXSA</t>
  </si>
  <si>
    <t>NESN</t>
  </si>
  <si>
    <t>3.02%</t>
  </si>
  <si>
    <t>LTC</t>
  </si>
  <si>
    <t>ASML</t>
  </si>
  <si>
    <t>2.42%</t>
  </si>
  <si>
    <t>Total mes /accion</t>
  </si>
  <si>
    <t>ROG</t>
  </si>
  <si>
    <t>2.23%</t>
  </si>
  <si>
    <t>SHELL</t>
  </si>
  <si>
    <t>Total / accion</t>
  </si>
  <si>
    <t>NOVN</t>
  </si>
  <si>
    <t>1.89%</t>
  </si>
  <si>
    <t>MC.PA</t>
  </si>
  <si>
    <t>1.75%</t>
  </si>
  <si>
    <t>VERIZON</t>
  </si>
  <si>
    <t>AZN.L</t>
  </si>
  <si>
    <t>1.32%</t>
  </si>
  <si>
    <t>SAP.DE</t>
  </si>
  <si>
    <t>1.29%</t>
  </si>
  <si>
    <t>COMCAST</t>
  </si>
  <si>
    <t>ULVR.L</t>
  </si>
  <si>
    <t>PFE</t>
  </si>
  <si>
    <t>LIN.L</t>
  </si>
  <si>
    <t>1.26%</t>
  </si>
  <si>
    <t>NOVO B</t>
  </si>
  <si>
    <t>1.17%</t>
  </si>
  <si>
    <t>HDLV</t>
  </si>
  <si>
    <t>IRM</t>
  </si>
  <si>
    <t>3.69%</t>
  </si>
  <si>
    <t>Total Acciones</t>
  </si>
  <si>
    <t>XOM</t>
  </si>
  <si>
    <t>LUMN</t>
  </si>
  <si>
    <t>3.20%</t>
  </si>
  <si>
    <t>Total Posiciones</t>
  </si>
  <si>
    <t>KMI</t>
  </si>
  <si>
    <t>3.13%</t>
  </si>
  <si>
    <t>Total Shares</t>
  </si>
  <si>
    <t>MO</t>
  </si>
  <si>
    <t>3.00%</t>
  </si>
  <si>
    <t>Total invertido</t>
  </si>
  <si>
    <t>PM</t>
  </si>
  <si>
    <t>2.73%</t>
  </si>
  <si>
    <t>CVX</t>
  </si>
  <si>
    <t>2.71%</t>
  </si>
  <si>
    <t>People's United Financial Inc</t>
  </si>
  <si>
    <t>PBCT</t>
  </si>
  <si>
    <t>2.63%</t>
  </si>
  <si>
    <t>T</t>
  </si>
  <si>
    <t>2.62%</t>
  </si>
  <si>
    <t>IBM</t>
  </si>
  <si>
    <t>2.48%</t>
  </si>
  <si>
    <t>IWRD</t>
  </si>
  <si>
    <t>5.1%</t>
  </si>
  <si>
    <t>4.5%</t>
  </si>
  <si>
    <t>2.33%</t>
  </si>
  <si>
    <t>1.96%</t>
  </si>
  <si>
    <t>1.38%</t>
  </si>
  <si>
    <t>1.24%</t>
  </si>
  <si>
    <t>1.14%</t>
  </si>
  <si>
    <t>0.91%</t>
  </si>
  <si>
    <t>0.86%</t>
  </si>
  <si>
    <t>0.83%</t>
  </si>
  <si>
    <t>0.80%</t>
  </si>
  <si>
    <t>0.75%</t>
  </si>
  <si>
    <t>0.72%</t>
  </si>
  <si>
    <t>0.66%</t>
  </si>
  <si>
    <t>0.65%</t>
  </si>
  <si>
    <t>0.60%</t>
  </si>
  <si>
    <t>IWDP</t>
  </si>
  <si>
    <t>PLD</t>
  </si>
  <si>
    <t>5.16%</t>
  </si>
  <si>
    <t>PSA</t>
  </si>
  <si>
    <t>2.66%</t>
  </si>
  <si>
    <t>SPG</t>
  </si>
  <si>
    <t>2.50%</t>
  </si>
  <si>
    <t>DLR</t>
  </si>
  <si>
    <t>2.46%</t>
  </si>
  <si>
    <t>VNA.DE</t>
  </si>
  <si>
    <t>2.15%</t>
  </si>
  <si>
    <t>WELL</t>
  </si>
  <si>
    <t>2.04%</t>
  </si>
  <si>
    <t>AVB</t>
  </si>
  <si>
    <t>1.70%</t>
  </si>
  <si>
    <t>EQR</t>
  </si>
  <si>
    <t>1.66%</t>
  </si>
  <si>
    <t>ARE</t>
  </si>
  <si>
    <t>1.56%</t>
  </si>
  <si>
    <t>O</t>
  </si>
  <si>
    <t>1.46%</t>
  </si>
  <si>
    <t>INFORMES ANUALES</t>
  </si>
  <si>
    <t>Costes y Gastos</t>
  </si>
  <si>
    <t>CxBank</t>
  </si>
  <si>
    <t>Rentabilidad</t>
  </si>
  <si>
    <t>DEGIRO</t>
  </si>
  <si>
    <t>Valor total cartera</t>
  </si>
  <si>
    <t>Ganancias venta acc</t>
  </si>
  <si>
    <t>Perdidas venta acc</t>
  </si>
  <si>
    <t>Comisiones</t>
  </si>
  <si>
    <t>Dividendos</t>
  </si>
  <si>
    <t>Pais</t>
  </si>
  <si>
    <t>DE</t>
  </si>
  <si>
    <t>iShares STOXX</t>
  </si>
  <si>
    <t>GB</t>
  </si>
  <si>
    <t>Shell</t>
  </si>
  <si>
    <t>Unilever</t>
  </si>
  <si>
    <t>IE</t>
  </si>
  <si>
    <t>Invesco SP500</t>
  </si>
  <si>
    <t>iShares DevMark</t>
  </si>
  <si>
    <t>iShares World</t>
  </si>
  <si>
    <t>US</t>
  </si>
  <si>
    <t>Comcast</t>
  </si>
  <si>
    <t>Intel</t>
  </si>
  <si>
    <t>Kraft</t>
  </si>
  <si>
    <t>Verizon</t>
  </si>
  <si>
    <t>Walgreens</t>
  </si>
  <si>
    <t>Cartera de Inversion (2022 - 2026)</t>
  </si>
  <si>
    <t>Broker</t>
  </si>
  <si>
    <t>Avg Cost / Share</t>
  </si>
  <si>
    <t>Dividend/accion</t>
  </si>
  <si>
    <t>En cartera</t>
  </si>
  <si>
    <t>Favorito</t>
  </si>
  <si>
    <t>Fecha entrada</t>
  </si>
  <si>
    <t>Contruct&amp;Engin</t>
  </si>
  <si>
    <t>CaixaBank</t>
  </si>
  <si>
    <t>Telecommunic</t>
  </si>
  <si>
    <t>LOG</t>
  </si>
  <si>
    <t>Logistics</t>
  </si>
  <si>
    <t>Oil&amp;Gas</t>
  </si>
  <si>
    <t>Electrical</t>
  </si>
  <si>
    <t>IT Technology</t>
  </si>
  <si>
    <t>Foods</t>
  </si>
  <si>
    <t>REIT</t>
  </si>
  <si>
    <t>Drinks</t>
  </si>
  <si>
    <t>Household</t>
  </si>
  <si>
    <t>Drug Retail</t>
  </si>
  <si>
    <t xml:space="preserve"> ETF</t>
  </si>
  <si>
    <t>Acciones</t>
  </si>
  <si>
    <t>Promedio</t>
  </si>
  <si>
    <t>Posiciones</t>
  </si>
  <si>
    <t>ANUAL</t>
  </si>
  <si>
    <t>Estimacion compra una accion de cada favorito</t>
  </si>
  <si>
    <t>Dividendos totales desde inicio</t>
  </si>
  <si>
    <t>Ingreso bruto</t>
  </si>
  <si>
    <t>DIVIDENDEROS</t>
  </si>
  <si>
    <t xml:space="preserve">Solo BMEX </t>
  </si>
  <si>
    <t xml:space="preserve">Solo Degiro </t>
  </si>
  <si>
    <t>XFRA</t>
  </si>
  <si>
    <t>Deutsche Borse</t>
  </si>
  <si>
    <t>Euronext Amsterdam</t>
  </si>
  <si>
    <t>Retenciones</t>
  </si>
  <si>
    <t>XNAS</t>
  </si>
  <si>
    <t>NASDAQ</t>
  </si>
  <si>
    <t>BMEX</t>
  </si>
  <si>
    <t>Bolsa Madrid</t>
  </si>
  <si>
    <t>XETR</t>
  </si>
  <si>
    <t>Candidatos para Inversion</t>
  </si>
  <si>
    <t>Valor</t>
  </si>
  <si>
    <t>MESES DIVIDENDOS</t>
  </si>
  <si>
    <t>Paises</t>
  </si>
  <si>
    <t>Monedas</t>
  </si>
  <si>
    <t>SECTOR</t>
  </si>
  <si>
    <t>DIVIDENDO TEÓRICO</t>
  </si>
  <si>
    <t>Dinero bruto teórico</t>
  </si>
  <si>
    <t>Dividendo creciente o
Vaca Lechera</t>
  </si>
  <si>
    <t>Yield Por Invertido</t>
  </si>
  <si>
    <t>Rango</t>
  </si>
  <si>
    <t>Adquirido</t>
  </si>
  <si>
    <t>3M</t>
  </si>
  <si>
    <t>3 - 6 - 9 -12</t>
  </si>
  <si>
    <t>Estados unidos</t>
  </si>
  <si>
    <t>Dolares</t>
  </si>
  <si>
    <t>INDUSTRIA</t>
  </si>
  <si>
    <t>Dividendo Creciente</t>
  </si>
  <si>
    <t>Más del 5%</t>
  </si>
  <si>
    <t>2-7</t>
  </si>
  <si>
    <t>España</t>
  </si>
  <si>
    <t>Euros</t>
  </si>
  <si>
    <t>INFRAESTRUCTURAS</t>
  </si>
  <si>
    <t>Vaca Lechera</t>
  </si>
  <si>
    <t>X</t>
  </si>
  <si>
    <t>AHOLD DELHAIZE</t>
  </si>
  <si>
    <t>4- 8</t>
  </si>
  <si>
    <t>Holanda</t>
  </si>
  <si>
    <t>ALIMENTACIÓN</t>
  </si>
  <si>
    <t>ALTRIA</t>
  </si>
  <si>
    <t>1 - 4 - 7 -10</t>
  </si>
  <si>
    <t>TABACO</t>
  </si>
  <si>
    <t>AT&amp;T</t>
  </si>
  <si>
    <t>2 - 5 - 8 - 11</t>
  </si>
  <si>
    <t>ATLANTICA YIELD</t>
  </si>
  <si>
    <t>Inglaterra</t>
  </si>
  <si>
    <t>UTILITIES</t>
  </si>
  <si>
    <t>AVIVA</t>
  </si>
  <si>
    <t>4 - 8</t>
  </si>
  <si>
    <t>Libras</t>
  </si>
  <si>
    <t>Menor que 3%</t>
  </si>
  <si>
    <t>BEIJING ENTERPRISES HOLD.</t>
  </si>
  <si>
    <t>7 - 10</t>
  </si>
  <si>
    <t>China</t>
  </si>
  <si>
    <t>Hong Kong Dolares</t>
  </si>
  <si>
    <t>BRITISH AMER. TOBACO</t>
  </si>
  <si>
    <t>BROOKFIELD INFRAESTRUC.</t>
  </si>
  <si>
    <t>Canada</t>
  </si>
  <si>
    <t>BROOKFIELD PROP. PART.</t>
  </si>
  <si>
    <t>CHEMOURS-CO</t>
  </si>
  <si>
    <t>CISCO</t>
  </si>
  <si>
    <t>TECNOLÓGICA</t>
  </si>
  <si>
    <t>CK INFRASTRUCTURE HOLD.</t>
  </si>
  <si>
    <t>5 - 9</t>
  </si>
  <si>
    <t>COCA COLA</t>
  </si>
  <si>
    <t>4-7-10-12</t>
  </si>
  <si>
    <t>BEBIDAS Y SNACKS</t>
  </si>
  <si>
    <t>COLGATE</t>
  </si>
  <si>
    <t>COMPASS MINERALS</t>
  </si>
  <si>
    <t>MINA</t>
  </si>
  <si>
    <t>4 - 10</t>
  </si>
  <si>
    <t>ALCOHOL</t>
  </si>
  <si>
    <t>DISNEY</t>
  </si>
  <si>
    <t>1 - 7</t>
  </si>
  <si>
    <t>CINE</t>
  </si>
  <si>
    <t>7 - 12</t>
  </si>
  <si>
    <t>ENBRIDGE INC</t>
  </si>
  <si>
    <t>GEO GROUP</t>
  </si>
  <si>
    <t>2-5-7-11</t>
  </si>
  <si>
    <t>H&amp;R BLOCK INC</t>
  </si>
  <si>
    <t>GESTIÓN FISCAL</t>
  </si>
  <si>
    <t>INNOVATI INDUST PROP INC</t>
  </si>
  <si>
    <t>IRON MOUNTAIN</t>
  </si>
  <si>
    <t>JOHNSON &amp; JOHNSON</t>
  </si>
  <si>
    <t>FARMACEUTICA</t>
  </si>
  <si>
    <t>KNOT OFFSHORE PARTNERS</t>
  </si>
  <si>
    <t>KRAFT HEINZ CO</t>
  </si>
  <si>
    <t>3-5-8-12</t>
  </si>
  <si>
    <t>3 - 8</t>
  </si>
  <si>
    <t>MAPFRE</t>
  </si>
  <si>
    <t>6-12</t>
  </si>
  <si>
    <t>MCDONALDS</t>
  </si>
  <si>
    <t>3 - 6 - 9 - 12</t>
  </si>
  <si>
    <t>OFFICE PROPERTIES INCOME</t>
  </si>
  <si>
    <t>PAYCHEX</t>
  </si>
  <si>
    <t>EMPLEO</t>
  </si>
  <si>
    <t>PEPSICOLA</t>
  </si>
  <si>
    <t>1 - 3 - 6 - 9</t>
  </si>
  <si>
    <t>3 - 6- 9- 12</t>
  </si>
  <si>
    <t>??</t>
  </si>
  <si>
    <t>PHILIPS MORRIS INTL</t>
  </si>
  <si>
    <t>1-4-7-10</t>
  </si>
  <si>
    <t>PRIM</t>
  </si>
  <si>
    <t>1-7</t>
  </si>
  <si>
    <t>REALTY INCOME</t>
  </si>
  <si>
    <t>All Months</t>
  </si>
  <si>
    <t>REE</t>
  </si>
  <si>
    <t>SERVENT TRENT</t>
  </si>
  <si>
    <t>T. ROWE PRICE</t>
  </si>
  <si>
    <t>FINANCIERA</t>
  </si>
  <si>
    <t>TELEFONICA</t>
  </si>
  <si>
    <t>Entre 3% y 5%</t>
  </si>
  <si>
    <t>TRITON</t>
  </si>
  <si>
    <t>TYSON FOODS</t>
  </si>
  <si>
    <t>UGI</t>
  </si>
  <si>
    <t>UNITED UTILITIES</t>
  </si>
  <si>
    <t>2 - 8</t>
  </si>
  <si>
    <t>UPS</t>
  </si>
  <si>
    <t>VENTAS</t>
  </si>
  <si>
    <t>VODAFONE</t>
  </si>
  <si>
    <t>W.P. CAREY</t>
  </si>
  <si>
    <t>ZARDOYA OTIS</t>
  </si>
  <si>
    <t>1 - 4 - 7</t>
  </si>
  <si>
    <t>ASCENSORES</t>
  </si>
  <si>
    <t>Total Compañias adquiridas</t>
  </si>
  <si>
    <t>ETFs</t>
  </si>
  <si>
    <t>RÉGIMEN</t>
  </si>
  <si>
    <t>EMPRESA</t>
  </si>
  <si>
    <t>FECHA ALTA</t>
  </si>
  <si>
    <t>FECHA DE BAJA</t>
  </si>
  <si>
    <t>C.T.</t>
  </si>
  <si>
    <t>G.C.</t>
  </si>
  <si>
    <t>DÍAS</t>
  </si>
  <si>
    <t>Comprobacion / Actualizacion</t>
  </si>
  <si>
    <t>Meses</t>
  </si>
  <si>
    <t>GENERAL</t>
  </si>
  <si>
    <t>NOVARTIS FARMACEUTICA, S.A.</t>
  </si>
  <si>
    <t>Actualidad meses Novartis</t>
  </si>
  <si>
    <t>VACACIONES RETRIBUIDAS Y NO DISFRUTADAS</t>
  </si>
  <si>
    <t>Actualidad años Novartis</t>
  </si>
  <si>
    <t>ROCHE DIAGNOSTICS,S.L.</t>
  </si>
  <si>
    <t>MAXIMO</t>
  </si>
  <si>
    <t>ALTRAN INNOVACION,S.L.</t>
  </si>
  <si>
    <t>SOGETI ESPAñA,S.L.  (Grifols)</t>
  </si>
  <si>
    <t>NEXUS INFORMATION TECNOLOGY, S.A. (H St Pau)</t>
  </si>
  <si>
    <t>AUTONOMO</t>
  </si>
  <si>
    <t>6201 Actividades de programación informát</t>
  </si>
  <si>
    <t>(Novartis Barbera)</t>
  </si>
  <si>
    <t>PRESTACION DESEMPLEO. EXTINCION</t>
  </si>
  <si>
    <t>MIPS SOFTWARE IBERICA, S.L.U. (H.Clinic)</t>
  </si>
  <si>
    <t>OLIVIA SISTEMAS, S.L.</t>
  </si>
  <si>
    <t>TRAKHEALTH,S.L. (H.La Paz, Madrid)</t>
  </si>
  <si>
    <t>SOCIEDAD DE VALIDACION DE SISTEMAS,S.L.</t>
  </si>
  <si>
    <t>SVS+CITS = 3'3 años</t>
  </si>
  <si>
    <t>COMPLIANCE AND IT SERVICES,S.L.</t>
  </si>
  <si>
    <t>SOCIEDAD DE VALIDACION DE SISTEMAS, S.L.</t>
  </si>
  <si>
    <t>REP.COMER</t>
  </si>
  <si>
    <t>APPEYRON RESEACH,S.A.</t>
  </si>
  <si>
    <t>AJUNTAMENT DE SANT ADRIA DE BESOS</t>
  </si>
  <si>
    <t>MENARINI DIAGNOSTICOS,S.A.</t>
  </si>
  <si>
    <t>MARESMAR, S.A.</t>
  </si>
  <si>
    <t>Total Maresmar = 1 año</t>
  </si>
  <si>
    <t>C.O. OLIMPICO BARCELONA 92</t>
  </si>
  <si>
    <t>MINIMO</t>
  </si>
  <si>
    <t>SERVICIOS DE INFORMATICA PROFESIONAL (SIPSA)</t>
  </si>
  <si>
    <t>MAREMAR S.A.</t>
  </si>
  <si>
    <t>LA SEDA DE BARCELONA, S.A.</t>
  </si>
  <si>
    <t>Total La Seda:  16 meses</t>
  </si>
  <si>
    <t>SUBSIDIO DESEMPLEO. EXTINCION</t>
  </si>
  <si>
    <t>DIAS</t>
  </si>
  <si>
    <t>MESES</t>
  </si>
  <si>
    <t>AÑOS</t>
  </si>
  <si>
    <t>Actualización años</t>
  </si>
  <si>
    <t>Simulación Jubilación</t>
  </si>
  <si>
    <t>Ingresos vs Gastos - Over Time</t>
  </si>
  <si>
    <t>2010 - 2024</t>
  </si>
  <si>
    <t>Por mes</t>
  </si>
  <si>
    <t>Gasto habitual mensual</t>
  </si>
  <si>
    <t>Buenas intenciones mensuales 2010</t>
  </si>
  <si>
    <t>La cruda realidad</t>
  </si>
  <si>
    <t>Que pasaría si…</t>
  </si>
  <si>
    <t>Smart / Mini</t>
  </si>
  <si>
    <t>coche nuevo</t>
  </si>
  <si>
    <t>Plan de Ahorro</t>
  </si>
  <si>
    <t>Traspaso Caixa Catalunya</t>
  </si>
  <si>
    <t>Teléfono</t>
  </si>
  <si>
    <t>Seguro Coche</t>
  </si>
  <si>
    <t>seguros</t>
  </si>
  <si>
    <t>Regalos (cumpleaños, reyes, Mangeles)</t>
  </si>
  <si>
    <t>Encuadernaciones apuntes MCSE o UOC</t>
  </si>
  <si>
    <t>Viajes Personales</t>
  </si>
  <si>
    <t>Material Informática</t>
  </si>
  <si>
    <t>Complementos y varios</t>
  </si>
  <si>
    <t>Total mensual</t>
  </si>
  <si>
    <t>Resto mensual</t>
  </si>
  <si>
    <t>Gastos totales reales</t>
  </si>
  <si>
    <t>Lo real</t>
  </si>
  <si>
    <t>Total mes estimado al alza</t>
  </si>
  <si>
    <t>Resto real</t>
  </si>
  <si>
    <t>Total mes estimado a la baja</t>
  </si>
  <si>
    <t>Ingreso medio mensual:</t>
  </si>
  <si>
    <t>Hipotesis: Ingresos 30K netos anuales</t>
  </si>
  <si>
    <t>Ingresos netos</t>
  </si>
  <si>
    <t>(promedios mensuales)</t>
  </si>
  <si>
    <t>Excursiones</t>
  </si>
  <si>
    <t>Excursiones y vacaciones</t>
  </si>
  <si>
    <t>Comida</t>
  </si>
  <si>
    <t>Transporte y coche</t>
  </si>
  <si>
    <t>(cuota coche 450)</t>
  </si>
  <si>
    <t>Agua y luz:</t>
  </si>
  <si>
    <t>Agua, Luz y Gas</t>
  </si>
  <si>
    <t>Imprevistos</t>
  </si>
  <si>
    <t>Niño</t>
  </si>
  <si>
    <t>Inversiones</t>
  </si>
  <si>
    <t>GASTOS:</t>
  </si>
  <si>
    <t>Alquiler:</t>
  </si>
  <si>
    <t>Total Gasto mensual</t>
  </si>
  <si>
    <t>Resto Mensual</t>
  </si>
  <si>
    <t>Historico Ingresos y gastos</t>
  </si>
  <si>
    <t>Desde Feb08</t>
  </si>
  <si>
    <t>Desde Jun08</t>
  </si>
  <si>
    <t>Desde Ago09</t>
  </si>
  <si>
    <t>Desde Ago10</t>
  </si>
  <si>
    <t>Desde May11</t>
  </si>
  <si>
    <t>Desde Dic11</t>
  </si>
  <si>
    <t>Desde Mar12</t>
  </si>
  <si>
    <t>Desde Ene14</t>
  </si>
  <si>
    <t>Desde Jun14</t>
  </si>
  <si>
    <t>Desde Dic14</t>
  </si>
  <si>
    <t>Ingresos:</t>
  </si>
  <si>
    <t>Prestamo coche/seguro:</t>
  </si>
  <si>
    <t>Gimnasio:</t>
  </si>
  <si>
    <t>Excursiones:</t>
  </si>
  <si>
    <t>Teléfono:</t>
  </si>
  <si>
    <t>Compras a plazos:</t>
  </si>
  <si>
    <t>Loterias:</t>
  </si>
  <si>
    <t>Mantenimiento:</t>
  </si>
  <si>
    <t>Extras:</t>
  </si>
  <si>
    <t>Autonomos:</t>
  </si>
  <si>
    <t>Hipótesis : Mudanza</t>
  </si>
  <si>
    <t>Hipótesis : Compra</t>
  </si>
  <si>
    <t>Coste mensual :</t>
  </si>
  <si>
    <t>(inluye gastos Comunidad propietarios)</t>
  </si>
  <si>
    <t>Fianza dos meses :</t>
  </si>
  <si>
    <t>Constitución Hipoteca :</t>
  </si>
  <si>
    <t>(incluye seguro vida y hogar)</t>
  </si>
  <si>
    <t>Mes en curso (x2) :</t>
  </si>
  <si>
    <t>Piso nuevo + Piso actual</t>
  </si>
  <si>
    <t>Tramites :</t>
  </si>
  <si>
    <t>Seguro :</t>
  </si>
  <si>
    <t>Electrodomésticos :</t>
  </si>
  <si>
    <t>Lavadora, Nevera</t>
  </si>
  <si>
    <t>Dormitorio :</t>
  </si>
  <si>
    <t>Transporte :</t>
  </si>
  <si>
    <t>Mudanza:</t>
  </si>
  <si>
    <t>Imprevistos :</t>
  </si>
  <si>
    <t>Hipótesis : Hipoteca</t>
  </si>
  <si>
    <t>Interes</t>
  </si>
  <si>
    <t>Cuota</t>
  </si>
  <si>
    <t>Se acaba pagando</t>
  </si>
  <si>
    <t>Seg+Comun</t>
  </si>
  <si>
    <t>2.5</t>
  </si>
  <si>
    <t>3.5</t>
  </si>
  <si>
    <t>3.75</t>
  </si>
  <si>
    <t>Gastos para compra segunda mano</t>
  </si>
  <si>
    <t>Gastos Compraventa</t>
  </si>
  <si>
    <t>*  Hogar</t>
  </si>
  <si>
    <t>Anual</t>
  </si>
  <si>
    <t>IVA/IGIC</t>
  </si>
  <si>
    <t>*  Vida</t>
  </si>
  <si>
    <t>90/mes</t>
  </si>
  <si>
    <t>ITP</t>
  </si>
  <si>
    <t>IAJD</t>
  </si>
  <si>
    <t>Notario</t>
  </si>
  <si>
    <t>Registro</t>
  </si>
  <si>
    <t>Gestion</t>
  </si>
  <si>
    <t>Gastos Hipoteca</t>
  </si>
  <si>
    <t>Tasación</t>
  </si>
  <si>
    <t>Gestión</t>
  </si>
  <si>
    <t>Total Compraventa</t>
  </si>
  <si>
    <t>Total Hipoteca</t>
  </si>
  <si>
    <t>PEÑA LOTERíA</t>
  </si>
  <si>
    <t>Premio</t>
  </si>
  <si>
    <t>Reparto</t>
  </si>
  <si>
    <t>Hacienda 22%</t>
  </si>
  <si>
    <t>cc</t>
  </si>
  <si>
    <t>Plazofijo</t>
  </si>
  <si>
    <t>Total de totales</t>
  </si>
  <si>
    <t>Fantasías animadas de ayer y hoy</t>
  </si>
  <si>
    <t>Gasto anual</t>
  </si>
  <si>
    <t>Gasto mensual</t>
  </si>
  <si>
    <t>Aporte anual 2% - plazo fijo</t>
  </si>
  <si>
    <t>Hacienda 30%</t>
  </si>
  <si>
    <t>Aportación anual</t>
  </si>
  <si>
    <t>Gasto en 10 años</t>
  </si>
  <si>
    <t>Gasto en 20 años</t>
  </si>
  <si>
    <t>Gasto en 40 años</t>
  </si>
  <si>
    <t>Ajuste con gastos extraordinarios anuales (10000)</t>
  </si>
  <si>
    <t>Impuestos %</t>
  </si>
  <si>
    <t>Interes %</t>
  </si>
  <si>
    <t>Total+interes</t>
  </si>
  <si>
    <t>Rto anual</t>
  </si>
  <si>
    <t>Rto-Impuestos (40%)</t>
  </si>
  <si>
    <t>(anual)</t>
  </si>
  <si>
    <t>20% Hacienda</t>
  </si>
  <si>
    <t>Premio neto</t>
  </si>
  <si>
    <t>Estudio y gastos iniciales</t>
  </si>
  <si>
    <t>Resto final</t>
  </si>
  <si>
    <t>2900 euros mensuales</t>
  </si>
  <si>
    <t>Duración prevista</t>
  </si>
  <si>
    <t>25 años</t>
  </si>
  <si>
    <t>Casa</t>
  </si>
  <si>
    <t xml:space="preserve">  2500 mensuales + 10000 extras y vacaciones</t>
  </si>
  <si>
    <t>Simulacro alquiler</t>
  </si>
  <si>
    <t>Bolsa alquiler</t>
  </si>
  <si>
    <t>Duración bolsa/Ahorro</t>
  </si>
  <si>
    <t>Simulacro coche</t>
  </si>
  <si>
    <t>Renting</t>
  </si>
  <si>
    <t>Compra</t>
  </si>
  <si>
    <t>Entrada</t>
  </si>
  <si>
    <t>De Enero a Diciembre de 2008</t>
  </si>
  <si>
    <t>Dias</t>
  </si>
  <si>
    <t>Devengos</t>
  </si>
  <si>
    <t>Deducciones</t>
  </si>
  <si>
    <t>Salario Base</t>
  </si>
  <si>
    <t>Plus Convenio</t>
  </si>
  <si>
    <t>Mejoras Voluntarias (14)</t>
  </si>
  <si>
    <t>Km</t>
  </si>
  <si>
    <t>P.P.Extras</t>
  </si>
  <si>
    <t>Base IRPF</t>
  </si>
  <si>
    <t>Cotizacion Cont.Com.</t>
  </si>
  <si>
    <t>Cotizacion Formacion</t>
  </si>
  <si>
    <t>Cotizacion Desempleo</t>
  </si>
  <si>
    <t>IRPF</t>
  </si>
  <si>
    <t>Total Deducciones</t>
  </si>
  <si>
    <t>Total a Percibir</t>
  </si>
  <si>
    <t>De Junio a Diciembre 2010</t>
  </si>
  <si>
    <t>Dto Base Accidente</t>
  </si>
  <si>
    <t>De Abril a Diciembre 2011</t>
  </si>
  <si>
    <t>Base A.T. y Des.</t>
  </si>
  <si>
    <t>Desde Febrero 2012</t>
  </si>
  <si>
    <t>Desde Junio 2013</t>
  </si>
  <si>
    <t>Incr.a cuenta(???)</t>
  </si>
  <si>
    <t>Desde Enero 2014</t>
  </si>
  <si>
    <t>Parte Proporcional Pagas</t>
  </si>
  <si>
    <t>Mejora Voluntaria</t>
  </si>
  <si>
    <t>Tickets Restaurante</t>
  </si>
  <si>
    <t>Suplidos (NF)</t>
  </si>
  <si>
    <t>Grandes Compras desde 1997</t>
  </si>
  <si>
    <t>AÑO</t>
  </si>
  <si>
    <t>VALOR</t>
  </si>
  <si>
    <t>Lentillas</t>
  </si>
  <si>
    <t>Traje Americana</t>
  </si>
  <si>
    <t>PC INVES 200 MMX</t>
  </si>
  <si>
    <t>Lector-Grabador CDs</t>
  </si>
  <si>
    <t>Disquetera LS120 + Cintas especiales de gran capacidad</t>
  </si>
  <si>
    <t>Bicicleta Corte Inglés (??)</t>
  </si>
  <si>
    <t>Muebles comedor Badalona</t>
  </si>
  <si>
    <t>MUEBLES Y MUDANZAS</t>
  </si>
  <si>
    <t>Monitor IBM</t>
  </si>
  <si>
    <t>Impresora HP Office</t>
  </si>
  <si>
    <t>PC Packard Bell</t>
  </si>
  <si>
    <t>PC HP Pavilion AMD Athlon 2,5GHz 60Gb HD</t>
  </si>
  <si>
    <t>Cámara digital Sanyo</t>
  </si>
  <si>
    <t>Mini Cooper S</t>
  </si>
  <si>
    <t>COCHES</t>
  </si>
  <si>
    <t>Apeman. Historia de la Evolución Humana + II Guerra mundial</t>
  </si>
  <si>
    <t>COLECCIONES</t>
  </si>
  <si>
    <t>Bicicleta BH Sierra Nevada</t>
  </si>
  <si>
    <t>Mudanza a El Prat + muebles</t>
  </si>
  <si>
    <t>Video grabadora DVD +  Pantalla plana</t>
  </si>
  <si>
    <t>Montaje artesanal de un PC</t>
  </si>
  <si>
    <t>Portatil HP</t>
  </si>
  <si>
    <t>HP iPAQ Travel companion con GPS</t>
  </si>
  <si>
    <t>PDA Palm TX</t>
  </si>
  <si>
    <t>Canon EOS 350D</t>
  </si>
  <si>
    <t>Canon IXUS 60</t>
  </si>
  <si>
    <t>Monitor +. Disco duro portátil</t>
  </si>
  <si>
    <t>Palm Life Drive</t>
  </si>
  <si>
    <t>Muebles IKEA para Terrassa</t>
  </si>
  <si>
    <t>TV Sony Bravia, Carrefour Terrassa</t>
  </si>
  <si>
    <t>Apple iPod Touch</t>
  </si>
  <si>
    <t>Hard Disk Multimedia</t>
  </si>
  <si>
    <t>PC Portátil TOSHIBA</t>
  </si>
  <si>
    <t>Teléfono NOKIA N90</t>
  </si>
  <si>
    <t>Compra Alfa Romeo  Mito</t>
  </si>
  <si>
    <t>Entrada KIA Ceed</t>
  </si>
  <si>
    <t>Monitor Benq</t>
  </si>
  <si>
    <t>Portatil MSI i7</t>
  </si>
  <si>
    <t>Samsung Galaxy S6</t>
  </si>
  <si>
    <t>Smart TV Samsung</t>
  </si>
  <si>
    <t>Smart Watch Moto</t>
  </si>
  <si>
    <t>Entrada Peugeot 5003</t>
  </si>
  <si>
    <t>Huawey Mate 9</t>
  </si>
  <si>
    <t>HP Envy 34’’ All-in-One</t>
  </si>
  <si>
    <t>iPhone X</t>
  </si>
  <si>
    <t>iPad</t>
  </si>
  <si>
    <t>Apple Watch Series 5</t>
  </si>
  <si>
    <t>iPad Pro</t>
  </si>
  <si>
    <t>Touchpad, Apple Pencil, Ratón</t>
  </si>
  <si>
    <t>Monitor Asus ZenScreen</t>
  </si>
  <si>
    <t>MacMini M1</t>
  </si>
  <si>
    <t>iPhone 13 Pro Max</t>
  </si>
  <si>
    <t>MacBook Pro M1</t>
  </si>
  <si>
    <t>Entrada VW T-Roc</t>
  </si>
  <si>
    <t>Crucero MSC SeaView Francia-Italia-Mallorca</t>
  </si>
  <si>
    <t>VIAJES</t>
  </si>
  <si>
    <t>Tratamiento en Madrid, nH Barajas (Jul-Ago)</t>
  </si>
  <si>
    <t>Amortización de un Préstamo Hipotecario</t>
  </si>
  <si>
    <t>Estimación imposible</t>
  </si>
  <si>
    <t>Precio de Compra</t>
  </si>
  <si>
    <t>Préstamo solicitado</t>
  </si>
  <si>
    <t>Interés anual</t>
  </si>
  <si>
    <t>Duración del préstamo (años)</t>
  </si>
  <si>
    <t>Número de pagos anuales</t>
  </si>
  <si>
    <t>Cantidad a pagar por periodo</t>
  </si>
  <si>
    <t>Total a pagar (intereses + capital)</t>
  </si>
  <si>
    <t>Total de intereses a pagar</t>
  </si>
  <si>
    <t>Estimación realista</t>
  </si>
  <si>
    <t>(80%)</t>
  </si>
  <si>
    <t>Global</t>
  </si>
  <si>
    <t>Automovil : Mantenimiento</t>
  </si>
  <si>
    <t>Automovil : Combustible</t>
  </si>
  <si>
    <t>Automovil : Parking-Peajes</t>
  </si>
  <si>
    <t>Automovil : Impuestos</t>
  </si>
  <si>
    <t>Automovil : Compra/Renting</t>
  </si>
  <si>
    <t>Comida : Dietas</t>
  </si>
  <si>
    <t>Deporte : Ropa</t>
  </si>
  <si>
    <t>Deporte : Gimnasio</t>
  </si>
  <si>
    <t>Formacion-Cultura : Libros</t>
  </si>
  <si>
    <t>Formacion-Cultura : Papeleria</t>
  </si>
  <si>
    <t>Formacion-Cultura : Matricula</t>
  </si>
  <si>
    <t>GastoFijoMensual : Telefono</t>
  </si>
  <si>
    <t>GastoFijoMensual : Electricidad</t>
  </si>
  <si>
    <t>GastoFijoMensual : Gas</t>
  </si>
  <si>
    <t>GastoFijoMensual : Alquiler</t>
  </si>
  <si>
    <t>GastoFijoMensual : Agua</t>
  </si>
  <si>
    <t>Hogar y Vestuario : Mobiliario</t>
  </si>
  <si>
    <t>Hogar y Vestuario : Ropa</t>
  </si>
  <si>
    <t>Hogar y Vestuario : Varios</t>
  </si>
  <si>
    <t>Hogar y Vestuario : Niños</t>
  </si>
  <si>
    <t>Ingresos : Salario</t>
  </si>
  <si>
    <t>Ocio : Revistas-Colecciones</t>
  </si>
  <si>
    <t>Ocio : FinSemana y Festivos</t>
  </si>
  <si>
    <t>Ocio : Otros</t>
  </si>
  <si>
    <t>Ocio : Exposiciones</t>
  </si>
  <si>
    <t>Salud : Farmacos</t>
  </si>
  <si>
    <t>Salud : Barbero</t>
  </si>
  <si>
    <t>Salud : Cosmetica</t>
  </si>
  <si>
    <t>Seguros : Auto</t>
  </si>
  <si>
    <t>Seguros : Hogar</t>
  </si>
  <si>
    <t>Seguros : Decesos</t>
  </si>
  <si>
    <t>Trabajo</t>
  </si>
  <si>
    <t>Incomes</t>
  </si>
  <si>
    <t>Hogar y Vestuario : Optica</t>
  </si>
  <si>
    <t>Impuestos : Hacienda</t>
  </si>
  <si>
    <t>Seguros : Tarjetas</t>
  </si>
  <si>
    <t>Categoría ▾</t>
  </si>
  <si>
    <t>Impuestos : Documentos</t>
  </si>
  <si>
    <t>Impuestos : Hogar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</si>
</sst>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#,##0.00\ &quot;€&quot;;[Red]\-#,##0.00\ &quot;€&quot;"/>
    <numFmt numFmtId="164" formatCode="#,##0.00&quot; €&quot;"/>
    <numFmt numFmtId="165" formatCode="_-* #,##0.00\ [$€-1]_-;\-* #,##0.00\ [$€-1]_-"/>
    <numFmt numFmtId="166" formatCode="#,##0.00\ [$€-1]"/>
    <numFmt numFmtId="167" formatCode="_-* #,##0.00\ [$€]_-;\-* #,##0.00\ [$€]_-;_-* \-??\ [$€]_-;_-@_-"/>
    <numFmt numFmtId="168" formatCode="#,##0.00\ [$€-C0A]"/>
    <numFmt numFmtId="169" formatCode="#,##0.00\ [$€-81D];\-#,##0.00\ [$€-81D]"/>
    <numFmt numFmtId="170" formatCode="#,##0.00&quot; €&quot;;[Red]\-#,##0.00&quot; €&quot;"/>
    <numFmt numFmtId="171" formatCode="0.0"/>
    <numFmt numFmtId="172" formatCode="#,##0\ [$€-40A]"/>
    <numFmt numFmtId="173" formatCode="#,##0\ [$€-C0A]"/>
    <numFmt numFmtId="174" formatCode="#,##0.0\ &quot;€&quot;"/>
    <numFmt numFmtId="175" formatCode="#,##0\ &quot;€&quot;"/>
    <numFmt numFmtId="176" formatCode="#,##0.00\ &quot;€&quot;"/>
    <numFmt numFmtId="177" formatCode="_([$€-2]\ * #,##0.00_);_([$€-2]\ * \(#,##0.00\);_([$€-2]\ * &quot;-&quot;??_);_(@_)"/>
    <numFmt numFmtId="178" formatCode="_([$$-409]* #,##0.00_);_([$$-409]* \(#,##0.00\);_([$$-409]* &quot;-&quot;??_);_(@_)"/>
    <numFmt numFmtId="179" formatCode="dd\-mm\-yy;@"/>
    <numFmt numFmtId="180" formatCode="0.0%"/>
    <numFmt numFmtId="181" formatCode="_-* #,##0.00\ [$€-1]_-;\-* #,##0.00\ [$€-1]_-;_-* &quot;-&quot;??\ [$€-1]_-;_-@_-"/>
    <numFmt numFmtId="182" formatCode="_-* #,##0.00\ [$€-803]_-;\-* #,##0.00\ [$€-803]_-;_-* &quot;-&quot;??\ [$€-803]_-;_-@_-"/>
    <numFmt numFmtId="183" formatCode="_-* #,##0.00\ [$€]_-;\-* #,##0.00\ [$€]_-;_-* &quot;-&quot;??\ [$€]_-;_-@_-"/>
  </numFmts>
  <fonts count="186"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0"/>
      <color rgb="FF003366"/>
      <name val="Arial"/>
      <family val="2"/>
      <charset val="1"/>
    </font>
    <font>
      <b/>
      <sz val="14"/>
      <color rgb="FF003366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2"/>
      <color rgb="FF0070C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b/>
      <sz val="10"/>
      <color rgb="FF0070C0"/>
      <name val="Arial"/>
      <family val="2"/>
      <charset val="1"/>
    </font>
    <font>
      <sz val="10"/>
      <color rgb="FFFF6600"/>
      <name val="Arial"/>
      <family val="2"/>
      <charset val="1"/>
    </font>
    <font>
      <sz val="10"/>
      <color rgb="FF0070C0"/>
      <name val="Arial"/>
      <family val="2"/>
      <charset val="1"/>
    </font>
    <font>
      <sz val="10"/>
      <color rgb="FFC00000"/>
      <name val="Arial"/>
      <family val="2"/>
      <charset val="1"/>
    </font>
    <font>
      <b/>
      <sz val="14"/>
      <color rgb="FF0070C0"/>
      <name val="Arial"/>
      <family val="2"/>
      <charset val="1"/>
    </font>
    <font>
      <sz val="9"/>
      <name val="Arial"/>
      <family val="2"/>
      <charset val="1"/>
    </font>
    <font>
      <sz val="8"/>
      <name val="Arial"/>
      <family val="2"/>
      <charset val="1"/>
    </font>
    <font>
      <b/>
      <sz val="9"/>
      <name val="Arial"/>
      <family val="2"/>
      <charset val="1"/>
    </font>
    <font>
      <b/>
      <sz val="12"/>
      <name val="Arial"/>
      <family val="2"/>
      <charset val="1"/>
    </font>
    <font>
      <b/>
      <sz val="10"/>
      <color rgb="FF000080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2"/>
      <color rgb="FF0000FF"/>
      <name val="Arial"/>
      <family val="2"/>
      <charset val="1"/>
    </font>
    <font>
      <i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2"/>
      <color rgb="FFFFFF99"/>
      <name val="Arial"/>
      <family val="2"/>
      <charset val="1"/>
    </font>
    <font>
      <b/>
      <sz val="14"/>
      <color rgb="FF376092"/>
      <name val="Arial"/>
      <family val="2"/>
      <charset val="1"/>
    </font>
    <font>
      <b/>
      <sz val="10"/>
      <color rgb="FFE46C0A"/>
      <name val="Arial"/>
      <family val="2"/>
      <charset val="1"/>
    </font>
    <font>
      <b/>
      <sz val="12"/>
      <color rgb="FF376092"/>
      <name val="Arial"/>
      <family val="2"/>
      <charset val="1"/>
    </font>
    <font>
      <b/>
      <sz val="16"/>
      <color rgb="FF333399"/>
      <name val="Arial"/>
      <family val="2"/>
      <charset val="1"/>
    </font>
    <font>
      <b/>
      <sz val="9"/>
      <color rgb="FF333399"/>
      <name val="Arial"/>
      <family val="2"/>
      <charset val="1"/>
    </font>
    <font>
      <b/>
      <sz val="16"/>
      <color rgb="FF254061"/>
      <name val="Arial"/>
      <family val="2"/>
      <charset val="1"/>
    </font>
    <font>
      <b/>
      <sz val="10"/>
      <color rgb="FF254061"/>
      <name val="Arial"/>
      <family val="2"/>
      <charset val="1"/>
    </font>
    <font>
      <b/>
      <sz val="8"/>
      <color rgb="FF007477"/>
      <name val="Arial"/>
      <family val="2"/>
      <charset val="1"/>
    </font>
    <font>
      <b/>
      <sz val="8"/>
      <color rgb="FFFF0000"/>
      <name val="Arial"/>
      <family val="2"/>
      <charset val="1"/>
    </font>
    <font>
      <sz val="8"/>
      <color rgb="FFFF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31859C"/>
      <name val="Arial"/>
      <family val="2"/>
      <charset val="1"/>
    </font>
    <font>
      <sz val="10"/>
      <color rgb="FFE46C0A"/>
      <name val="Arial"/>
      <family val="2"/>
      <charset val="1"/>
    </font>
    <font>
      <sz val="10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/>
      <sz val="10"/>
      <color rgb="FF339966"/>
      <name val="Arial"/>
      <family val="2"/>
      <charset val="1"/>
    </font>
    <font>
      <b/>
      <sz val="12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8"/>
      <color rgb="FF333333"/>
      <name val="Arial"/>
      <family val="2"/>
    </font>
    <font>
      <b/>
      <sz val="10"/>
      <color rgb="FF333333"/>
      <name val="Arial"/>
      <family val="2"/>
    </font>
    <font>
      <b/>
      <sz val="12"/>
      <color rgb="FFFF0000"/>
      <name val="Arial"/>
      <family val="2"/>
    </font>
    <font>
      <b/>
      <sz val="12"/>
      <color rgb="FF333333"/>
      <name val="Arial"/>
      <family val="2"/>
    </font>
    <font>
      <b/>
      <sz val="10"/>
      <color rgb="FFFF0000"/>
      <name val="Arial"/>
      <family val="2"/>
    </font>
    <font>
      <sz val="36"/>
      <color rgb="FF333333"/>
      <name val="Arial"/>
      <family val="2"/>
    </font>
    <font>
      <b/>
      <sz val="11"/>
      <color theme="0"/>
      <name val="Calibri"/>
      <family val="2"/>
      <scheme val="minor"/>
    </font>
    <font>
      <b/>
      <sz val="16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22"/>
      <color indexed="16"/>
      <name val="Arial"/>
      <family val="2"/>
    </font>
    <font>
      <b/>
      <sz val="12"/>
      <color indexed="10"/>
      <name val="Arial"/>
      <family val="2"/>
    </font>
    <font>
      <i/>
      <sz val="12"/>
      <name val="Arial"/>
      <family val="2"/>
    </font>
    <font>
      <b/>
      <sz val="11"/>
      <color indexed="60"/>
      <name val="Arial"/>
      <family val="2"/>
    </font>
    <font>
      <b/>
      <sz val="10"/>
      <color indexed="63"/>
      <name val="Arial"/>
      <family val="2"/>
    </font>
    <font>
      <b/>
      <sz val="10"/>
      <color indexed="10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theme="4" tint="-0.24997711111789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b/>
      <sz val="12"/>
      <color theme="8" tint="-0.249977111117893"/>
      <name val="Arial"/>
      <family val="2"/>
    </font>
    <font>
      <sz val="8"/>
      <color rgb="FFFF0000"/>
      <name val="Arial"/>
      <family val="2"/>
    </font>
    <font>
      <sz val="16"/>
      <name val="Arial"/>
      <family val="2"/>
    </font>
    <font>
      <sz val="10"/>
      <color theme="0"/>
      <name val="Arial"/>
      <family val="2"/>
    </font>
    <font>
      <sz val="11"/>
      <color theme="0"/>
      <name val="Arial"/>
      <family val="2"/>
    </font>
    <font>
      <b/>
      <sz val="12"/>
      <color theme="0"/>
      <name val="Arial"/>
      <family val="2"/>
    </font>
    <font>
      <b/>
      <sz val="10"/>
      <color theme="9"/>
      <name val="Arial"/>
      <family val="2"/>
    </font>
    <font>
      <b/>
      <sz val="12"/>
      <color theme="9"/>
      <name val="Arial"/>
      <family val="2"/>
    </font>
    <font>
      <b/>
      <sz val="10"/>
      <color theme="0"/>
      <name val="Arial"/>
      <family val="2"/>
    </font>
    <font>
      <sz val="8"/>
      <color rgb="FF333333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Arial"/>
      <family val="2"/>
    </font>
    <font>
      <b/>
      <sz val="20"/>
      <color rgb="FF2E75B5"/>
      <name val="Calibri"/>
      <family val="2"/>
    </font>
    <font>
      <sz val="10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E84C22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rgb="FF333333"/>
      <name val="Arial"/>
      <family val="2"/>
    </font>
    <font>
      <sz val="10"/>
      <color rgb="FFFFFFFF"/>
      <name val="Calibri"/>
      <family val="2"/>
    </font>
    <font>
      <b/>
      <sz val="10"/>
      <color rgb="FFFA0000"/>
      <name val="Calibri"/>
      <family val="2"/>
    </font>
    <font>
      <b/>
      <sz val="14"/>
      <color rgb="FFFFFFFF"/>
      <name val="Calibri"/>
      <family val="2"/>
    </font>
    <font>
      <sz val="11"/>
      <name val="Arial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sz val="26"/>
      <name val="Arial"/>
      <family val="2"/>
    </font>
    <font>
      <sz val="10"/>
      <color theme="8"/>
      <name val="Arial"/>
      <family val="2"/>
    </font>
    <font>
      <b/>
      <sz val="12"/>
      <color theme="4" tint="-0.249977111117893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u/>
      <sz val="10"/>
      <color theme="10"/>
      <name val="Arial"/>
      <family val="2"/>
    </font>
    <font>
      <sz val="9"/>
      <name val="Calibri"/>
      <family val="2"/>
    </font>
    <font>
      <sz val="8"/>
      <name val="Calibri"/>
      <family val="2"/>
    </font>
    <font>
      <u/>
      <sz val="8"/>
      <color theme="10"/>
      <name val="Arial"/>
      <family val="2"/>
    </font>
    <font>
      <b/>
      <sz val="12"/>
      <name val="Calibri"/>
      <family val="2"/>
    </font>
    <font>
      <sz val="14"/>
      <name val="Arial"/>
      <family val="2"/>
    </font>
    <font>
      <sz val="10"/>
      <color rgb="FF232A31"/>
      <name val="Arial"/>
      <family val="2"/>
    </font>
    <font>
      <b/>
      <sz val="10"/>
      <color rgb="FF232A31"/>
      <name val="Arial"/>
      <family val="2"/>
    </font>
    <font>
      <b/>
      <sz val="10"/>
      <color theme="4" tint="-0.249977111117893"/>
      <name val="Arial"/>
      <family val="2"/>
    </font>
    <font>
      <b/>
      <sz val="14"/>
      <color theme="4" tint="-0.249977111117893"/>
      <name val="Arial"/>
      <family val="2"/>
    </font>
    <font>
      <b/>
      <sz val="9"/>
      <color theme="4" tint="-0.249977111117893"/>
      <name val="Arial"/>
      <family val="2"/>
    </font>
    <font>
      <b/>
      <sz val="9"/>
      <color rgb="FF232A31"/>
      <name val="Arial"/>
      <family val="2"/>
    </font>
    <font>
      <b/>
      <i/>
      <sz val="10"/>
      <name val="Arial"/>
      <family val="2"/>
    </font>
    <font>
      <b/>
      <sz val="12"/>
      <color rgb="FFC00000"/>
      <name val="Arial"/>
      <family val="2"/>
    </font>
    <font>
      <b/>
      <sz val="12"/>
      <color rgb="FF00B050"/>
      <name val="Arial"/>
      <family val="2"/>
    </font>
    <font>
      <b/>
      <u/>
      <sz val="14"/>
      <color theme="10"/>
      <name val="Arial"/>
      <family val="2"/>
    </font>
    <font>
      <sz val="8"/>
      <color rgb="FF232A31"/>
      <name val="Arial"/>
      <family val="2"/>
    </font>
    <font>
      <sz val="8"/>
      <color rgb="FFC00000"/>
      <name val="Arial"/>
      <family val="2"/>
    </font>
    <font>
      <sz val="9"/>
      <color rgb="FFFF0000"/>
      <name val="Arial"/>
      <family val="2"/>
    </font>
    <font>
      <sz val="24"/>
      <color rgb="FF0070C0"/>
      <name val="Arial"/>
      <family val="2"/>
    </font>
    <font>
      <sz val="7"/>
      <color theme="4" tint="-0.249977111117893"/>
      <name val="Arial"/>
      <family val="2"/>
    </font>
    <font>
      <sz val="10"/>
      <color theme="4" tint="-0.249977111117893"/>
      <name val="Arial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12"/>
      <color indexed="8"/>
      <name val="Arial"/>
      <family val="2"/>
    </font>
    <font>
      <sz val="12"/>
      <color rgb="FFFF0000"/>
      <name val="Arial"/>
      <family val="2"/>
    </font>
    <font>
      <b/>
      <sz val="8"/>
      <color rgb="FF000000"/>
      <name val="Arial"/>
      <family val="2"/>
    </font>
    <font>
      <b/>
      <i/>
      <sz val="8"/>
      <color rgb="FF000000"/>
      <name val="Arial"/>
      <family val="2"/>
    </font>
    <font>
      <b/>
      <sz val="10"/>
      <color rgb="FFFFFFFF"/>
      <name val="Arial"/>
      <family val="2"/>
    </font>
    <font>
      <sz val="12"/>
      <color theme="1"/>
      <name val="Calibri"/>
      <family val="2"/>
      <scheme val="minor"/>
    </font>
    <font>
      <b/>
      <sz val="10"/>
      <color theme="0"/>
      <name val="ArialMT"/>
    </font>
    <font>
      <sz val="12"/>
      <color theme="1"/>
      <name val="ArialMT"/>
    </font>
    <font>
      <sz val="8"/>
      <color theme="1"/>
      <name val="ArialMT"/>
    </font>
    <font>
      <sz val="8"/>
      <color rgb="FF00B050"/>
      <name val="ArialMT"/>
    </font>
    <font>
      <b/>
      <sz val="8"/>
      <color theme="1"/>
      <name val="ArialMT"/>
    </font>
    <font>
      <sz val="8"/>
      <color theme="0" tint="-0.34998626667073579"/>
      <name val="ArialMT"/>
    </font>
    <font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9"/>
      <color theme="8"/>
      <name val="Arial"/>
      <family val="2"/>
    </font>
    <font>
      <sz val="9"/>
      <color rgb="FFC00000"/>
      <name val="Arial"/>
      <family val="2"/>
    </font>
    <font>
      <b/>
      <sz val="10"/>
      <color rgb="FF0070C0"/>
      <name val="Arial"/>
      <family val="2"/>
    </font>
    <font>
      <b/>
      <sz val="11"/>
      <color rgb="FFFF0000"/>
      <name val="Arial"/>
      <family val="2"/>
    </font>
    <font>
      <u/>
      <sz val="9"/>
      <color theme="10"/>
      <name val="Arial"/>
      <family val="2"/>
    </font>
    <font>
      <sz val="11"/>
      <color theme="1"/>
      <name val="ArialMT"/>
    </font>
    <font>
      <sz val="10"/>
      <color rgb="FFC00000"/>
      <name val="Arial"/>
      <family val="2"/>
    </font>
    <font>
      <i/>
      <sz val="8"/>
      <name val="Arial"/>
      <family val="2"/>
    </font>
    <font>
      <b/>
      <sz val="14"/>
      <color theme="0"/>
      <name val="Arial"/>
      <family val="2"/>
    </font>
    <font>
      <b/>
      <sz val="12"/>
      <color theme="4" tint="-0.499984740745262"/>
      <name val="Arial"/>
      <family val="2"/>
    </font>
    <font>
      <b/>
      <sz val="14"/>
      <color rgb="FFFFFF00"/>
      <name val="Arial"/>
      <family val="2"/>
      <charset val="1"/>
    </font>
    <font>
      <b/>
      <sz val="14"/>
      <color rgb="FF333333"/>
      <name val="Arial"/>
      <family val="2"/>
    </font>
    <font>
      <sz val="10"/>
      <color theme="1" tint="0.499984740745262"/>
      <name val="Arial"/>
      <family val="2"/>
    </font>
    <font>
      <b/>
      <sz val="12"/>
      <color theme="1" tint="0.499984740745262"/>
      <name val="Arial"/>
      <family val="2"/>
    </font>
    <font>
      <b/>
      <sz val="20"/>
      <name val="Arial"/>
      <family val="2"/>
    </font>
    <font>
      <b/>
      <sz val="24"/>
      <color theme="4" tint="-0.249977111117893"/>
      <name val="Calibri"/>
      <family val="2"/>
    </font>
    <font>
      <b/>
      <sz val="11"/>
      <name val="Arial"/>
      <family val="2"/>
    </font>
    <font>
      <sz val="12"/>
      <name val="Calibri"/>
      <family val="2"/>
    </font>
    <font>
      <b/>
      <sz val="10"/>
      <color rgb="FF000000"/>
      <name val="Arial"/>
      <family val="2"/>
    </font>
    <font>
      <b/>
      <sz val="14"/>
      <color theme="7" tint="0.39997558519241921"/>
      <name val="Arial"/>
      <family val="2"/>
    </font>
    <font>
      <sz val="9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0"/>
      <color theme="0" tint="-0.249977111117893"/>
      <name val="Arial"/>
      <family val="2"/>
    </font>
    <font>
      <sz val="10"/>
      <color rgb="FF000000"/>
      <name val="Arial"/>
      <family val="2"/>
    </font>
    <font>
      <sz val="9"/>
      <color theme="7" tint="0.39997558519241921"/>
      <name val="Arial"/>
      <family val="2"/>
    </font>
    <font>
      <b/>
      <sz val="14"/>
      <color rgb="FFFF0000"/>
      <name val="Arial"/>
      <family val="2"/>
    </font>
    <font>
      <b/>
      <u/>
      <sz val="16"/>
      <name val="Arial"/>
      <family val="2"/>
    </font>
    <font>
      <b/>
      <i/>
      <sz val="10"/>
      <color theme="0" tint="-0.34998626667073579"/>
      <name val="Arial"/>
      <family val="2"/>
    </font>
    <font>
      <b/>
      <sz val="8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b/>
      <sz val="16"/>
      <color theme="4" tint="-0.249977111117893"/>
      <name val="Arial"/>
      <family val="2"/>
    </font>
    <font>
      <b/>
      <sz val="11"/>
      <color theme="4" tint="-0.249977111117893"/>
      <name val="Arial"/>
      <family val="2"/>
    </font>
    <font>
      <sz val="10"/>
      <color theme="0" tint="-0.34998626667073579"/>
      <name val="Arial"/>
      <family val="2"/>
    </font>
    <font>
      <sz val="9"/>
      <color theme="0" tint="-0.34998626667073579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rgb="FFE84C22"/>
      <name val="Calibri"/>
      <family val="2"/>
    </font>
  </fonts>
  <fills count="68">
    <fill>
      <patternFill patternType="none"/>
    </fill>
    <fill>
      <patternFill patternType="gray125"/>
    </fill>
    <fill>
      <patternFill patternType="solid">
        <fgColor rgb="FFFFFF00"/>
        <bgColor rgb="FFFFCC00"/>
      </patternFill>
    </fill>
    <fill>
      <patternFill patternType="solid">
        <fgColor rgb="FFFFCC00"/>
        <bgColor rgb="FFFFC000"/>
      </patternFill>
    </fill>
    <fill>
      <patternFill patternType="solid">
        <fgColor rgb="FFC0C0C0"/>
        <bgColor rgb="FFB7B7B7"/>
      </patternFill>
    </fill>
    <fill>
      <patternFill patternType="solid">
        <fgColor rgb="FF00FF00"/>
        <bgColor rgb="FF00B050"/>
      </patternFill>
    </fill>
    <fill>
      <patternFill patternType="solid">
        <fgColor rgb="FFCCCCFF"/>
        <bgColor rgb="FFC1D1EC"/>
      </patternFill>
    </fill>
    <fill>
      <patternFill patternType="solid">
        <fgColor rgb="FFCCFFFF"/>
        <bgColor rgb="FFCCFFCC"/>
      </patternFill>
    </fill>
    <fill>
      <patternFill patternType="solid">
        <fgColor rgb="FFCC99FF"/>
        <bgColor rgb="FF9999FF"/>
      </patternFill>
    </fill>
    <fill>
      <patternFill patternType="solid">
        <fgColor rgb="FFFFC000"/>
        <bgColor rgb="FFFFCC00"/>
      </patternFill>
    </fill>
    <fill>
      <patternFill patternType="solid">
        <fgColor rgb="FFFFFF99"/>
        <bgColor rgb="FFFFFFCC"/>
      </patternFill>
    </fill>
    <fill>
      <patternFill patternType="solid">
        <fgColor rgb="FFDCE6F2"/>
        <bgColor rgb="FFE3E3E3"/>
      </patternFill>
    </fill>
    <fill>
      <patternFill patternType="solid">
        <fgColor rgb="FFD7E4BD"/>
        <bgColor rgb="FFD9D9D9"/>
      </patternFill>
    </fill>
    <fill>
      <patternFill patternType="solid">
        <fgColor rgb="FFCCFFCC"/>
        <bgColor rgb="FFCCFFFF"/>
      </patternFill>
    </fill>
    <fill>
      <patternFill patternType="solid">
        <fgColor rgb="FF993366"/>
        <bgColor rgb="FFBE4B48"/>
      </patternFill>
    </fill>
    <fill>
      <patternFill patternType="solid">
        <fgColor rgb="FFD9D9D9"/>
        <bgColor rgb="FFE3E3E3"/>
      </patternFill>
    </fill>
    <fill>
      <patternFill patternType="solid">
        <fgColor rgb="FF254061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rgb="FFFCD5B5"/>
        <bgColor rgb="FFFFCC99"/>
      </patternFill>
    </fill>
    <fill>
      <patternFill patternType="solid">
        <fgColor rgb="FFFF0000"/>
        <bgColor rgb="FFC00000"/>
      </patternFill>
    </fill>
    <fill>
      <patternFill patternType="solid">
        <fgColor rgb="FFE46C0A"/>
        <bgColor rgb="FFFF6600"/>
      </patternFill>
    </fill>
    <fill>
      <patternFill patternType="solid">
        <fgColor rgb="FFF2DCDB"/>
        <bgColor rgb="FFE3E3E3"/>
      </patternFill>
    </fill>
    <fill>
      <patternFill patternType="solid">
        <fgColor rgb="FF808080"/>
        <bgColor rgb="FF878787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49"/>
      </patternFill>
    </fill>
    <fill>
      <patternFill patternType="solid">
        <fgColor indexed="4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5F497A"/>
        <bgColor indexed="64"/>
      </patternFill>
    </fill>
    <fill>
      <patternFill patternType="solid">
        <fgColor rgb="FFFEE599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C001"/>
        <bgColor indexed="64"/>
      </patternFill>
    </fill>
    <fill>
      <patternFill patternType="solid">
        <fgColor rgb="FF1E4E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C78D8"/>
        <bgColor rgb="FF3C78D8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rgb="FFB7B7B7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3D3D3"/>
        <bgColor indexed="64"/>
      </patternFill>
    </fill>
  </fills>
  <borders count="14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800080"/>
      </top>
      <bottom style="hair">
        <color rgb="FF800080"/>
      </bottom>
      <diagonal/>
    </border>
    <border>
      <left/>
      <right/>
      <top style="medium">
        <color rgb="FF800080"/>
      </top>
      <bottom/>
      <diagonal/>
    </border>
    <border>
      <left style="medium">
        <color rgb="FF800080"/>
      </left>
      <right/>
      <top style="hair">
        <color rgb="FF800080"/>
      </top>
      <bottom style="hair">
        <color rgb="FF800080"/>
      </bottom>
      <diagonal/>
    </border>
    <border>
      <left/>
      <right/>
      <top style="hair">
        <color rgb="FF800080"/>
      </top>
      <bottom style="hair">
        <color rgb="FF800080"/>
      </bottom>
      <diagonal/>
    </border>
    <border>
      <left/>
      <right/>
      <top style="hair">
        <color rgb="FF800080"/>
      </top>
      <bottom/>
      <diagonal/>
    </border>
    <border>
      <left/>
      <right/>
      <top/>
      <bottom style="hair">
        <color rgb="FF800080"/>
      </bottom>
      <diagonal/>
    </border>
    <border>
      <left style="medium">
        <color rgb="FF800080"/>
      </left>
      <right/>
      <top style="hair">
        <color rgb="FF800080"/>
      </top>
      <bottom style="medium">
        <color rgb="FF800080"/>
      </bottom>
      <diagonal/>
    </border>
    <border>
      <left/>
      <right/>
      <top style="hair">
        <color rgb="FF800080"/>
      </top>
      <bottom style="medium">
        <color rgb="FF800080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dashed">
        <color auto="1"/>
      </left>
      <right style="dashed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808080"/>
      </left>
      <right/>
      <top style="hair">
        <color rgb="FF808080"/>
      </top>
      <bottom style="hair">
        <color rgb="FF808080"/>
      </bottom>
      <diagonal/>
    </border>
    <border>
      <left/>
      <right/>
      <top style="hair">
        <color rgb="FF808080"/>
      </top>
      <bottom style="hair">
        <color rgb="FF808080"/>
      </bottom>
      <diagonal/>
    </border>
    <border>
      <left/>
      <right style="medium">
        <color rgb="FF808080"/>
      </right>
      <top style="hair">
        <color rgb="FF808080"/>
      </top>
      <bottom style="hair">
        <color rgb="FF808080"/>
      </bottom>
      <diagonal/>
    </border>
    <border>
      <left style="medium">
        <color rgb="FF808080"/>
      </left>
      <right/>
      <top style="hair">
        <color rgb="FF808080"/>
      </top>
      <bottom/>
      <diagonal/>
    </border>
    <border>
      <left/>
      <right/>
      <top style="hair">
        <color rgb="FF808080"/>
      </top>
      <bottom/>
      <diagonal/>
    </border>
    <border>
      <left/>
      <right style="medium">
        <color rgb="FF808080"/>
      </right>
      <top style="hair">
        <color rgb="FF808080"/>
      </top>
      <bottom/>
      <diagonal/>
    </border>
    <border>
      <left style="medium">
        <color rgb="FF808080"/>
      </left>
      <right/>
      <top style="hair">
        <color rgb="FF808080"/>
      </top>
      <bottom style="medium">
        <color rgb="FF808080"/>
      </bottom>
      <diagonal/>
    </border>
    <border>
      <left/>
      <right/>
      <top style="hair">
        <color rgb="FF808080"/>
      </top>
      <bottom style="medium">
        <color rgb="FF808080"/>
      </bottom>
      <diagonal/>
    </border>
    <border>
      <left/>
      <right style="medium">
        <color rgb="FF808080"/>
      </right>
      <top style="hair">
        <color rgb="FF808080"/>
      </top>
      <bottom style="medium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/>
      <top/>
      <bottom style="thin">
        <color indexed="8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n">
        <color indexed="8"/>
      </bottom>
      <diagonal/>
    </border>
    <border>
      <left style="medium">
        <color indexed="10"/>
      </left>
      <right style="medium">
        <color indexed="10"/>
      </right>
      <top/>
      <bottom/>
      <diagonal/>
    </border>
    <border>
      <left style="medium">
        <color indexed="10"/>
      </left>
      <right style="medium">
        <color indexed="10"/>
      </right>
      <top/>
      <bottom style="medium">
        <color indexed="10"/>
      </bottom>
      <diagonal/>
    </border>
    <border>
      <left/>
      <right/>
      <top/>
      <bottom style="hair">
        <color theme="6" tint="-0.24994659260841701"/>
      </bottom>
      <diagonal/>
    </border>
    <border>
      <left/>
      <right/>
      <top style="hair">
        <color theme="6" tint="-0.24994659260841701"/>
      </top>
      <bottom style="hair">
        <color theme="6" tint="-0.24994659260841701"/>
      </bottom>
      <diagonal/>
    </border>
    <border>
      <left/>
      <right/>
      <top style="hair">
        <color rgb="FF339933"/>
      </top>
      <bottom style="hair">
        <color rgb="FF339933"/>
      </bottom>
      <diagonal/>
    </border>
    <border>
      <left/>
      <right/>
      <top style="hair">
        <color theme="6" tint="-0.24994659260841701"/>
      </top>
      <bottom/>
      <diagonal/>
    </border>
    <border>
      <left/>
      <right/>
      <top style="hair">
        <color rgb="FF800080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thick">
        <color theme="0" tint="-0.34998626667073579"/>
      </right>
      <top/>
      <bottom/>
      <diagonal/>
    </border>
    <border>
      <left/>
      <right style="thick">
        <color theme="0" tint="-0.34998626667073579"/>
      </right>
      <top/>
      <bottom style="hair">
        <color theme="6" tint="-0.24994659260841701"/>
      </bottom>
      <diagonal/>
    </border>
    <border>
      <left/>
      <right style="thick">
        <color theme="0" tint="-0.34998626667073579"/>
      </right>
      <top style="hair">
        <color theme="6" tint="-0.24994659260841701"/>
      </top>
      <bottom style="hair">
        <color theme="6" tint="-0.24994659260841701"/>
      </bottom>
      <diagonal/>
    </border>
    <border>
      <left/>
      <right style="thick">
        <color theme="0" tint="-0.34998626667073579"/>
      </right>
      <top style="hair">
        <color theme="6" tint="-0.24994659260841701"/>
      </top>
      <bottom/>
      <diagonal/>
    </border>
    <border>
      <left style="medium">
        <color rgb="FFA3A3A3"/>
      </left>
      <right style="dashed">
        <color rgb="FFA3A3A3"/>
      </right>
      <top style="medium">
        <color rgb="FFA3A3A3"/>
      </top>
      <bottom style="hair">
        <color rgb="FFA3A3A3"/>
      </bottom>
      <diagonal/>
    </border>
    <border>
      <left style="dashed">
        <color rgb="FFA3A3A3"/>
      </left>
      <right style="dashed">
        <color rgb="FFA3A3A3"/>
      </right>
      <top style="medium">
        <color rgb="FFA3A3A3"/>
      </top>
      <bottom style="hair">
        <color rgb="FFA3A3A3"/>
      </bottom>
      <diagonal/>
    </border>
    <border>
      <left style="dashed">
        <color rgb="FFA3A3A3"/>
      </left>
      <right style="medium">
        <color rgb="FFA3A3A3"/>
      </right>
      <top style="medium">
        <color rgb="FFA3A3A3"/>
      </top>
      <bottom style="hair">
        <color rgb="FFA3A3A3"/>
      </bottom>
      <diagonal/>
    </border>
    <border>
      <left style="medium">
        <color rgb="FFA3A3A3"/>
      </left>
      <right style="dashed">
        <color rgb="FFA3A3A3"/>
      </right>
      <top style="hair">
        <color rgb="FFA3A3A3"/>
      </top>
      <bottom style="hair">
        <color rgb="FFA3A3A3"/>
      </bottom>
      <diagonal/>
    </border>
    <border>
      <left style="dashed">
        <color rgb="FFA3A3A3"/>
      </left>
      <right style="dashed">
        <color rgb="FFA3A3A3"/>
      </right>
      <top style="hair">
        <color rgb="FFA3A3A3"/>
      </top>
      <bottom style="hair">
        <color rgb="FFA3A3A3"/>
      </bottom>
      <diagonal/>
    </border>
    <border>
      <left style="dashed">
        <color rgb="FFA3A3A3"/>
      </left>
      <right style="medium">
        <color rgb="FFA3A3A3"/>
      </right>
      <top style="hair">
        <color rgb="FFA3A3A3"/>
      </top>
      <bottom style="hair">
        <color rgb="FFA3A3A3"/>
      </bottom>
      <diagonal/>
    </border>
    <border>
      <left style="medium">
        <color rgb="FFA3A3A3"/>
      </left>
      <right style="dashed">
        <color rgb="FFA3A3A3"/>
      </right>
      <top style="hair">
        <color rgb="FFA3A3A3"/>
      </top>
      <bottom style="medium">
        <color rgb="FFA3A3A3"/>
      </bottom>
      <diagonal/>
    </border>
    <border>
      <left style="dashed">
        <color rgb="FFA3A3A3"/>
      </left>
      <right style="dashed">
        <color rgb="FFA3A3A3"/>
      </right>
      <top style="hair">
        <color rgb="FFA3A3A3"/>
      </top>
      <bottom style="medium">
        <color rgb="FFA3A3A3"/>
      </bottom>
      <diagonal/>
    </border>
    <border>
      <left style="dashed">
        <color rgb="FFA3A3A3"/>
      </left>
      <right style="medium">
        <color rgb="FFA3A3A3"/>
      </right>
      <top style="hair">
        <color rgb="FFA3A3A3"/>
      </top>
      <bottom style="medium">
        <color rgb="FFA3A3A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A3A3A3"/>
      </left>
      <right style="thin">
        <color rgb="FFA3A3A3"/>
      </right>
      <top style="medium">
        <color rgb="FFA3A3A3"/>
      </top>
      <bottom style="hair">
        <color rgb="FFA3A3A3"/>
      </bottom>
      <diagonal/>
    </border>
    <border>
      <left style="thin">
        <color rgb="FFA3A3A3"/>
      </left>
      <right style="thin">
        <color rgb="FFA3A3A3"/>
      </right>
      <top style="medium">
        <color rgb="FFA3A3A3"/>
      </top>
      <bottom style="hair">
        <color rgb="FFA3A3A3"/>
      </bottom>
      <diagonal/>
    </border>
    <border>
      <left style="thin">
        <color rgb="FFA3A3A3"/>
      </left>
      <right style="medium">
        <color rgb="FFA3A3A3"/>
      </right>
      <top style="medium">
        <color rgb="FFA3A3A3"/>
      </top>
      <bottom style="hair">
        <color rgb="FFA3A3A3"/>
      </bottom>
      <diagonal/>
    </border>
    <border>
      <left style="medium">
        <color rgb="FFA3A3A3"/>
      </left>
      <right style="thin">
        <color rgb="FFA3A3A3"/>
      </right>
      <top style="hair">
        <color rgb="FFA3A3A3"/>
      </top>
      <bottom style="hair">
        <color rgb="FFA3A3A3"/>
      </bottom>
      <diagonal/>
    </border>
    <border>
      <left style="thin">
        <color rgb="FFA3A3A3"/>
      </left>
      <right style="thin">
        <color rgb="FFA3A3A3"/>
      </right>
      <top style="hair">
        <color rgb="FFA3A3A3"/>
      </top>
      <bottom style="hair">
        <color rgb="FFA3A3A3"/>
      </bottom>
      <diagonal/>
    </border>
    <border>
      <left style="thin">
        <color rgb="FFA3A3A3"/>
      </left>
      <right style="medium">
        <color rgb="FFA3A3A3"/>
      </right>
      <top style="hair">
        <color rgb="FFA3A3A3"/>
      </top>
      <bottom style="hair">
        <color rgb="FFA3A3A3"/>
      </bottom>
      <diagonal/>
    </border>
    <border>
      <left style="medium">
        <color rgb="FFA3A3A3"/>
      </left>
      <right style="thin">
        <color rgb="FFA3A3A3"/>
      </right>
      <top style="hair">
        <color rgb="FFA3A3A3"/>
      </top>
      <bottom style="medium">
        <color rgb="FFA3A3A3"/>
      </bottom>
      <diagonal/>
    </border>
    <border>
      <left style="thin">
        <color rgb="FFA3A3A3"/>
      </left>
      <right style="thin">
        <color rgb="FFA3A3A3"/>
      </right>
      <top style="hair">
        <color rgb="FFA3A3A3"/>
      </top>
      <bottom style="medium">
        <color rgb="FFA3A3A3"/>
      </bottom>
      <diagonal/>
    </border>
    <border>
      <left style="thin">
        <color rgb="FFA3A3A3"/>
      </left>
      <right style="medium">
        <color rgb="FFA3A3A3"/>
      </right>
      <top style="hair">
        <color rgb="FFA3A3A3"/>
      </top>
      <bottom style="medium">
        <color rgb="FFA3A3A3"/>
      </bottom>
      <diagonal/>
    </border>
    <border>
      <left style="thin">
        <color rgb="FFA3A3A3"/>
      </left>
      <right/>
      <top style="medium">
        <color rgb="FFA3A3A3"/>
      </top>
      <bottom style="hair">
        <color rgb="FFA3A3A3"/>
      </bottom>
      <diagonal/>
    </border>
    <border>
      <left/>
      <right/>
      <top style="medium">
        <color rgb="FFA3A3A3"/>
      </top>
      <bottom style="hair">
        <color rgb="FFA3A3A3"/>
      </bottom>
      <diagonal/>
    </border>
    <border>
      <left style="thin">
        <color rgb="FFA3A3A3"/>
      </left>
      <right/>
      <top style="hair">
        <color rgb="FFA3A3A3"/>
      </top>
      <bottom style="hair">
        <color rgb="FFA3A3A3"/>
      </bottom>
      <diagonal/>
    </border>
    <border>
      <left/>
      <right/>
      <top style="hair">
        <color rgb="FFA3A3A3"/>
      </top>
      <bottom style="hair">
        <color rgb="FFA3A3A3"/>
      </bottom>
      <diagonal/>
    </border>
    <border>
      <left style="thin">
        <color rgb="FFA3A3A3"/>
      </left>
      <right/>
      <top style="hair">
        <color rgb="FFA3A3A3"/>
      </top>
      <bottom style="medium">
        <color rgb="FFA3A3A3"/>
      </bottom>
      <diagonal/>
    </border>
    <border>
      <left/>
      <right/>
      <top style="hair">
        <color rgb="FFA3A3A3"/>
      </top>
      <bottom style="medium">
        <color rgb="FFA3A3A3"/>
      </bottom>
      <diagonal/>
    </border>
    <border>
      <left/>
      <right/>
      <top/>
      <bottom style="thick">
        <color theme="5"/>
      </bottom>
      <diagonal/>
    </border>
    <border>
      <left/>
      <right style="dashed">
        <color auto="1"/>
      </right>
      <top/>
      <bottom style="hair">
        <color auto="1"/>
      </bottom>
      <diagonal/>
    </border>
    <border>
      <left style="dashed">
        <color auto="1"/>
      </left>
      <right style="dashed">
        <color auto="1"/>
      </right>
      <top/>
      <bottom style="hair">
        <color auto="1"/>
      </bottom>
      <diagonal/>
    </border>
    <border>
      <left style="dashed">
        <color auto="1"/>
      </left>
      <right/>
      <top/>
      <bottom style="hair">
        <color auto="1"/>
      </bottom>
      <diagonal/>
    </border>
    <border>
      <left/>
      <right style="dashed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/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hair">
        <color auto="1"/>
      </top>
      <bottom/>
      <diagonal/>
    </border>
    <border>
      <left style="dashed">
        <color auto="1"/>
      </left>
      <right/>
      <top style="hair">
        <color auto="1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hair">
        <color rgb="FFA3A3A3"/>
      </bottom>
      <diagonal/>
    </border>
    <border>
      <left style="medium">
        <color rgb="FFA3A3A3"/>
      </left>
      <right style="medium">
        <color rgb="FFA3A3A3"/>
      </right>
      <top style="hair">
        <color rgb="FFA3A3A3"/>
      </top>
      <bottom style="hair">
        <color rgb="FFA3A3A3"/>
      </bottom>
      <diagonal/>
    </border>
    <border>
      <left style="medium">
        <color rgb="FFA3A3A3"/>
      </left>
      <right style="medium">
        <color rgb="FFA3A3A3"/>
      </right>
      <top style="hair">
        <color rgb="FFA3A3A3"/>
      </top>
      <bottom style="medium">
        <color rgb="FFA3A3A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800080"/>
      </left>
      <right/>
      <top/>
      <bottom style="hair">
        <color rgb="FF80008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8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 style="medium">
        <color rgb="FF000000"/>
      </top>
      <bottom style="thick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 style="medium">
        <color theme="5"/>
      </right>
      <top/>
      <bottom style="medium">
        <color theme="5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183" fontId="62" fillId="0" borderId="0"/>
    <xf numFmtId="0" fontId="136" fillId="0" borderId="0"/>
    <xf numFmtId="0" fontId="107" fillId="0" borderId="0"/>
  </cellStyleXfs>
  <cellXfs count="1031">
    <xf numFmtId="0" fontId="0" fillId="0" borderId="0" xfId="0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3" borderId="0" xfId="0" applyFont="1" applyFill="1"/>
    <xf numFmtId="0" fontId="7" fillId="0" borderId="0" xfId="0" applyFont="1"/>
    <xf numFmtId="0" fontId="0" fillId="4" borderId="0" xfId="0" applyFill="1"/>
    <xf numFmtId="164" fontId="0" fillId="4" borderId="0" xfId="0" applyNumberFormat="1" applyFill="1"/>
    <xf numFmtId="164" fontId="8" fillId="4" borderId="2" xfId="0" applyNumberFormat="1" applyFont="1" applyFill="1" applyBorder="1"/>
    <xf numFmtId="164" fontId="8" fillId="5" borderId="0" xfId="0" applyNumberFormat="1" applyFont="1" applyFill="1"/>
    <xf numFmtId="164" fontId="0" fillId="0" borderId="0" xfId="0" applyNumberFormat="1"/>
    <xf numFmtId="0" fontId="3" fillId="4" borderId="0" xfId="0" applyFont="1" applyFill="1"/>
    <xf numFmtId="0" fontId="9" fillId="0" borderId="3" xfId="0" applyFont="1" applyBorder="1"/>
    <xf numFmtId="164" fontId="10" fillId="0" borderId="4" xfId="0" applyNumberFormat="1" applyFont="1" applyBorder="1"/>
    <xf numFmtId="164" fontId="11" fillId="0" borderId="5" xfId="0" applyNumberFormat="1" applyFont="1" applyBorder="1"/>
    <xf numFmtId="164" fontId="12" fillId="2" borderId="6" xfId="0" applyNumberFormat="1" applyFont="1" applyFill="1" applyBorder="1"/>
    <xf numFmtId="0" fontId="13" fillId="0" borderId="0" xfId="0" applyFont="1"/>
    <xf numFmtId="164" fontId="0" fillId="4" borderId="7" xfId="0" applyNumberFormat="1" applyFill="1" applyBorder="1"/>
    <xf numFmtId="164" fontId="0" fillId="4" borderId="8" xfId="0" applyNumberFormat="1" applyFill="1" applyBorder="1"/>
    <xf numFmtId="164" fontId="8" fillId="4" borderId="7" xfId="0" applyNumberFormat="1" applyFont="1" applyFill="1" applyBorder="1"/>
    <xf numFmtId="0" fontId="0" fillId="0" borderId="9" xfId="0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2" xfId="0" applyNumberFormat="1" applyBorder="1"/>
    <xf numFmtId="164" fontId="0" fillId="6" borderId="0" xfId="0" applyNumberFormat="1" applyFill="1"/>
    <xf numFmtId="0" fontId="8" fillId="4" borderId="9" xfId="0" applyFont="1" applyFill="1" applyBorder="1"/>
    <xf numFmtId="164" fontId="0" fillId="4" borderId="12" xfId="0" applyNumberFormat="1" applyFill="1" applyBorder="1"/>
    <xf numFmtId="164" fontId="0" fillId="4" borderId="10" xfId="0" applyNumberFormat="1" applyFill="1" applyBorder="1"/>
    <xf numFmtId="164" fontId="0" fillId="4" borderId="11" xfId="0" applyNumberFormat="1" applyFill="1" applyBorder="1"/>
    <xf numFmtId="164" fontId="0" fillId="4" borderId="2" xfId="0" applyNumberFormat="1" applyFill="1" applyBorder="1"/>
    <xf numFmtId="0" fontId="3" fillId="0" borderId="9" xfId="0" applyFont="1" applyBorder="1"/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0" fillId="6" borderId="0" xfId="0" applyFill="1"/>
    <xf numFmtId="164" fontId="14" fillId="6" borderId="0" xfId="0" applyNumberFormat="1" applyFont="1" applyFill="1"/>
    <xf numFmtId="0" fontId="3" fillId="0" borderId="0" xfId="0" applyFont="1"/>
    <xf numFmtId="0" fontId="0" fillId="7" borderId="9" xfId="0" applyFill="1" applyBorder="1"/>
    <xf numFmtId="164" fontId="0" fillId="7" borderId="10" xfId="0" applyNumberFormat="1" applyFill="1" applyBorder="1"/>
    <xf numFmtId="164" fontId="0" fillId="7" borderId="12" xfId="0" applyNumberFormat="1" applyFill="1" applyBorder="1"/>
    <xf numFmtId="164" fontId="0" fillId="7" borderId="11" xfId="0" applyNumberFormat="1" applyFill="1" applyBorder="1"/>
    <xf numFmtId="164" fontId="8" fillId="7" borderId="2" xfId="0" applyNumberFormat="1" applyFont="1" applyFill="1" applyBorder="1"/>
    <xf numFmtId="164" fontId="0" fillId="7" borderId="0" xfId="0" applyNumberFormat="1" applyFill="1"/>
    <xf numFmtId="164" fontId="3" fillId="0" borderId="11" xfId="0" applyNumberFormat="1" applyFont="1" applyBorder="1"/>
    <xf numFmtId="164" fontId="8" fillId="0" borderId="2" xfId="0" applyNumberFormat="1" applyFont="1" applyBorder="1"/>
    <xf numFmtId="0" fontId="0" fillId="8" borderId="9" xfId="0" applyFill="1" applyBorder="1"/>
    <xf numFmtId="164" fontId="0" fillId="8" borderId="12" xfId="0" applyNumberFormat="1" applyFill="1" applyBorder="1"/>
    <xf numFmtId="164" fontId="0" fillId="8" borderId="10" xfId="0" applyNumberFormat="1" applyFill="1" applyBorder="1"/>
    <xf numFmtId="164" fontId="8" fillId="8" borderId="2" xfId="0" applyNumberFormat="1" applyFont="1" applyFill="1" applyBorder="1"/>
    <xf numFmtId="164" fontId="0" fillId="8" borderId="11" xfId="0" applyNumberFormat="1" applyFill="1" applyBorder="1"/>
    <xf numFmtId="164" fontId="0" fillId="8" borderId="0" xfId="0" applyNumberFormat="1" applyFill="1"/>
    <xf numFmtId="0" fontId="3" fillId="9" borderId="9" xfId="0" applyFont="1" applyFill="1" applyBorder="1"/>
    <xf numFmtId="164" fontId="0" fillId="9" borderId="10" xfId="0" applyNumberFormat="1" applyFill="1" applyBorder="1"/>
    <xf numFmtId="164" fontId="8" fillId="9" borderId="12" xfId="0" applyNumberFormat="1" applyFont="1" applyFill="1" applyBorder="1"/>
    <xf numFmtId="164" fontId="0" fillId="9" borderId="0" xfId="0" applyNumberFormat="1" applyFill="1"/>
    <xf numFmtId="0" fontId="0" fillId="0" borderId="13" xfId="0" applyBorder="1"/>
    <xf numFmtId="164" fontId="0" fillId="0" borderId="14" xfId="0" applyNumberFormat="1" applyBorder="1"/>
    <xf numFmtId="0" fontId="9" fillId="6" borderId="3" xfId="0" applyFont="1" applyFill="1" applyBorder="1"/>
    <xf numFmtId="164" fontId="10" fillId="6" borderId="4" xfId="0" applyNumberFormat="1" applyFont="1" applyFill="1" applyBorder="1"/>
    <xf numFmtId="164" fontId="9" fillId="6" borderId="2" xfId="0" applyNumberFormat="1" applyFont="1" applyFill="1" applyBorder="1"/>
    <xf numFmtId="164" fontId="9" fillId="2" borderId="6" xfId="0" applyNumberFormat="1" applyFont="1" applyFill="1" applyBorder="1"/>
    <xf numFmtId="0" fontId="0" fillId="3" borderId="0" xfId="0" applyFill="1"/>
    <xf numFmtId="164" fontId="0" fillId="3" borderId="0" xfId="0" applyNumberFormat="1" applyFill="1"/>
    <xf numFmtId="0" fontId="15" fillId="0" borderId="0" xfId="0" applyFont="1"/>
    <xf numFmtId="164" fontId="8" fillId="3" borderId="2" xfId="0" applyNumberFormat="1" applyFont="1" applyFill="1" applyBorder="1"/>
    <xf numFmtId="0" fontId="8" fillId="10" borderId="3" xfId="0" applyFont="1" applyFill="1" applyBorder="1"/>
    <xf numFmtId="164" fontId="0" fillId="10" borderId="4" xfId="0" applyNumberFormat="1" applyFill="1" applyBorder="1"/>
    <xf numFmtId="164" fontId="16" fillId="10" borderId="4" xfId="0" applyNumberFormat="1" applyFont="1" applyFill="1" applyBorder="1"/>
    <xf numFmtId="164" fontId="0" fillId="10" borderId="5" xfId="0" applyNumberFormat="1" applyFill="1" applyBorder="1"/>
    <xf numFmtId="0" fontId="17" fillId="0" borderId="0" xfId="0" applyFont="1"/>
    <xf numFmtId="0" fontId="3" fillId="0" borderId="0" xfId="1"/>
    <xf numFmtId="0" fontId="3" fillId="0" borderId="0" xfId="1" applyAlignment="1">
      <alignment horizontal="left" vertical="center"/>
    </xf>
    <xf numFmtId="0" fontId="3" fillId="0" borderId="0" xfId="1" applyAlignment="1">
      <alignment horizontal="left"/>
    </xf>
    <xf numFmtId="0" fontId="18" fillId="0" borderId="0" xfId="1" applyFont="1"/>
    <xf numFmtId="0" fontId="0" fillId="0" borderId="0" xfId="0" applyAlignment="1">
      <alignment vertical="center"/>
    </xf>
    <xf numFmtId="0" fontId="18" fillId="0" borderId="0" xfId="0" applyFont="1"/>
    <xf numFmtId="0" fontId="20" fillId="11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165" fontId="19" fillId="11" borderId="0" xfId="0" applyNumberFormat="1" applyFont="1" applyFill="1"/>
    <xf numFmtId="165" fontId="19" fillId="0" borderId="0" xfId="0" applyNumberFormat="1" applyFont="1"/>
    <xf numFmtId="166" fontId="19" fillId="11" borderId="0" xfId="0" applyNumberFormat="1" applyFont="1" applyFill="1"/>
    <xf numFmtId="166" fontId="19" fillId="0" borderId="0" xfId="0" applyNumberFormat="1" applyFont="1"/>
    <xf numFmtId="0" fontId="21" fillId="0" borderId="0" xfId="0" applyFont="1" applyAlignment="1">
      <alignment horizontal="center"/>
    </xf>
    <xf numFmtId="0" fontId="22" fillId="12" borderId="0" xfId="0" applyFont="1" applyFill="1"/>
    <xf numFmtId="166" fontId="0" fillId="12" borderId="0" xfId="0" applyNumberFormat="1" applyFill="1"/>
    <xf numFmtId="0" fontId="22" fillId="0" borderId="0" xfId="0" applyFont="1"/>
    <xf numFmtId="166" fontId="0" fillId="0" borderId="0" xfId="0" applyNumberFormat="1"/>
    <xf numFmtId="0" fontId="23" fillId="0" borderId="0" xfId="0" applyFont="1" applyAlignment="1">
      <alignment horizontal="center"/>
    </xf>
    <xf numFmtId="167" fontId="18" fillId="0" borderId="0" xfId="1" applyNumberFormat="1" applyFont="1" applyAlignment="1">
      <alignment horizontal="left"/>
    </xf>
    <xf numFmtId="167" fontId="3" fillId="0" borderId="0" xfId="1" applyNumberFormat="1" applyAlignment="1">
      <alignment horizontal="left"/>
    </xf>
    <xf numFmtId="168" fontId="0" fillId="12" borderId="0" xfId="0" applyNumberFormat="1" applyFill="1"/>
    <xf numFmtId="167" fontId="3" fillId="12" borderId="0" xfId="1" applyNumberFormat="1" applyFill="1" applyAlignment="1">
      <alignment horizontal="left"/>
    </xf>
    <xf numFmtId="167" fontId="18" fillId="12" borderId="0" xfId="1" applyNumberFormat="1" applyFont="1" applyFill="1" applyAlignment="1">
      <alignment horizontal="left"/>
    </xf>
    <xf numFmtId="169" fontId="3" fillId="12" borderId="0" xfId="1" applyNumberFormat="1" applyFill="1" applyAlignment="1">
      <alignment horizontal="right"/>
    </xf>
    <xf numFmtId="0" fontId="21" fillId="0" borderId="0" xfId="0" applyFont="1" applyAlignment="1">
      <alignment horizontal="center" vertical="center"/>
    </xf>
    <xf numFmtId="0" fontId="23" fillId="0" borderId="0" xfId="0" applyFont="1"/>
    <xf numFmtId="17" fontId="23" fillId="0" borderId="0" xfId="0" applyNumberFormat="1" applyFont="1"/>
    <xf numFmtId="0" fontId="23" fillId="0" borderId="0" xfId="1" applyFont="1" applyAlignment="1">
      <alignment horizontal="left"/>
    </xf>
    <xf numFmtId="0" fontId="3" fillId="0" borderId="0" xfId="1" applyAlignment="1">
      <alignment vertical="center"/>
    </xf>
    <xf numFmtId="0" fontId="21" fillId="2" borderId="0" xfId="1" applyFont="1" applyFill="1" applyAlignment="1">
      <alignment horizontal="left" vertical="center"/>
    </xf>
    <xf numFmtId="0" fontId="21" fillId="2" borderId="0" xfId="1" applyFont="1" applyFill="1" applyAlignment="1">
      <alignment horizontal="center" vertical="center" textRotation="90"/>
    </xf>
    <xf numFmtId="0" fontId="21" fillId="2" borderId="0" xfId="1" applyFont="1" applyFill="1" applyAlignment="1">
      <alignment vertical="center"/>
    </xf>
    <xf numFmtId="0" fontId="21" fillId="2" borderId="0" xfId="1" applyFont="1" applyFill="1" applyAlignment="1">
      <alignment horizontal="center" vertical="center" wrapText="1"/>
    </xf>
    <xf numFmtId="0" fontId="24" fillId="2" borderId="0" xfId="1" applyFont="1" applyFill="1" applyAlignment="1">
      <alignment horizontal="center" vertical="center" wrapText="1"/>
    </xf>
    <xf numFmtId="0" fontId="25" fillId="6" borderId="15" xfId="1" applyFont="1" applyFill="1" applyBorder="1" applyAlignment="1">
      <alignment horizontal="center" vertical="center" wrapText="1"/>
    </xf>
    <xf numFmtId="0" fontId="24" fillId="10" borderId="15" xfId="1" applyFont="1" applyFill="1" applyBorder="1" applyAlignment="1">
      <alignment horizontal="center" vertical="center" wrapText="1"/>
    </xf>
    <xf numFmtId="0" fontId="3" fillId="0" borderId="16" xfId="1" applyBorder="1" applyAlignment="1">
      <alignment horizontal="left"/>
    </xf>
    <xf numFmtId="0" fontId="8" fillId="13" borderId="17" xfId="1" applyFont="1" applyFill="1" applyBorder="1"/>
    <xf numFmtId="0" fontId="3" fillId="0" borderId="18" xfId="1" applyBorder="1"/>
    <xf numFmtId="0" fontId="3" fillId="0" borderId="19" xfId="1" applyBorder="1"/>
    <xf numFmtId="0" fontId="8" fillId="6" borderId="17" xfId="1" applyFont="1" applyFill="1" applyBorder="1"/>
    <xf numFmtId="0" fontId="24" fillId="0" borderId="16" xfId="1" applyFont="1" applyBorder="1"/>
    <xf numFmtId="4" fontId="3" fillId="6" borderId="20" xfId="1" applyNumberFormat="1" applyFill="1" applyBorder="1" applyAlignment="1">
      <alignment horizontal="center"/>
    </xf>
    <xf numFmtId="0" fontId="3" fillId="10" borderId="0" xfId="1" applyFill="1"/>
    <xf numFmtId="0" fontId="3" fillId="0" borderId="17" xfId="1" applyBorder="1"/>
    <xf numFmtId="4" fontId="3" fillId="6" borderId="0" xfId="1" applyNumberFormat="1" applyFill="1" applyAlignment="1">
      <alignment horizontal="center"/>
    </xf>
    <xf numFmtId="4" fontId="3" fillId="6" borderId="21" xfId="1" applyNumberFormat="1" applyFill="1" applyBorder="1" applyAlignment="1">
      <alignment horizontal="center"/>
    </xf>
    <xf numFmtId="0" fontId="24" fillId="0" borderId="22" xfId="1" applyFont="1" applyBorder="1"/>
    <xf numFmtId="0" fontId="8" fillId="13" borderId="23" xfId="1" applyFont="1" applyFill="1" applyBorder="1"/>
    <xf numFmtId="0" fontId="3" fillId="0" borderId="24" xfId="1" applyBorder="1"/>
    <xf numFmtId="0" fontId="3" fillId="0" borderId="25" xfId="1" applyBorder="1"/>
    <xf numFmtId="0" fontId="3" fillId="0" borderId="26" xfId="1" applyBorder="1"/>
    <xf numFmtId="0" fontId="24" fillId="0" borderId="27" xfId="1" applyFont="1" applyBorder="1"/>
    <xf numFmtId="0" fontId="26" fillId="0" borderId="0" xfId="1" applyFont="1" applyAlignment="1">
      <alignment horizontal="right"/>
    </xf>
    <xf numFmtId="4" fontId="3" fillId="0" borderId="0" xfId="1" applyNumberFormat="1" applyAlignment="1">
      <alignment horizontal="center"/>
    </xf>
    <xf numFmtId="0" fontId="3" fillId="0" borderId="0" xfId="1" applyAlignment="1">
      <alignment horizontal="right"/>
    </xf>
    <xf numFmtId="0" fontId="27" fillId="14" borderId="0" xfId="1" applyFont="1" applyFill="1"/>
    <xf numFmtId="4" fontId="28" fillId="14" borderId="0" xfId="1" applyNumberFormat="1" applyFont="1" applyFill="1" applyAlignment="1">
      <alignment horizontal="center"/>
    </xf>
    <xf numFmtId="0" fontId="21" fillId="0" borderId="28" xfId="1" applyFont="1" applyBorder="1"/>
    <xf numFmtId="0" fontId="3" fillId="2" borderId="0" xfId="1" applyFill="1" applyAlignment="1">
      <alignment horizontal="left"/>
    </xf>
    <xf numFmtId="0" fontId="3" fillId="2" borderId="0" xfId="1" applyFill="1"/>
    <xf numFmtId="0" fontId="3" fillId="2" borderId="0" xfId="1" applyFill="1" applyAlignment="1">
      <alignment horizontal="center"/>
    </xf>
    <xf numFmtId="0" fontId="29" fillId="0" borderId="0" xfId="1" applyFont="1" applyAlignment="1">
      <alignment horizontal="left"/>
    </xf>
    <xf numFmtId="0" fontId="3" fillId="0" borderId="3" xfId="1" applyBorder="1" applyAlignment="1">
      <alignment horizontal="left" vertical="center"/>
    </xf>
    <xf numFmtId="0" fontId="3" fillId="0" borderId="4" xfId="1" applyBorder="1"/>
    <xf numFmtId="0" fontId="21" fillId="0" borderId="6" xfId="1" applyFont="1" applyBorder="1" applyAlignment="1">
      <alignment horizontal="left"/>
    </xf>
    <xf numFmtId="0" fontId="30" fillId="0" borderId="3" xfId="1" applyFont="1" applyBorder="1" applyAlignment="1">
      <alignment horizontal="left"/>
    </xf>
    <xf numFmtId="0" fontId="30" fillId="0" borderId="4" xfId="1" applyFont="1" applyBorder="1"/>
    <xf numFmtId="0" fontId="30" fillId="0" borderId="6" xfId="1" applyFont="1" applyBorder="1" applyAlignment="1">
      <alignment horizontal="left"/>
    </xf>
    <xf numFmtId="0" fontId="3" fillId="15" borderId="29" xfId="1" applyFill="1" applyBorder="1" applyAlignment="1">
      <alignment horizontal="left"/>
    </xf>
    <xf numFmtId="0" fontId="3" fillId="15" borderId="30" xfId="1" applyFill="1" applyBorder="1"/>
    <xf numFmtId="0" fontId="3" fillId="15" borderId="31" xfId="1" applyFill="1" applyBorder="1" applyAlignment="1">
      <alignment horizontal="left"/>
    </xf>
    <xf numFmtId="0" fontId="3" fillId="0" borderId="32" xfId="1" applyBorder="1" applyAlignment="1">
      <alignment horizontal="left"/>
    </xf>
    <xf numFmtId="0" fontId="3" fillId="0" borderId="28" xfId="1" applyBorder="1"/>
    <xf numFmtId="0" fontId="31" fillId="0" borderId="33" xfId="1" applyFont="1" applyBorder="1" applyAlignment="1">
      <alignment horizontal="left"/>
    </xf>
    <xf numFmtId="0" fontId="32" fillId="0" borderId="0" xfId="1" applyFont="1" applyAlignment="1">
      <alignment horizontal="left"/>
    </xf>
    <xf numFmtId="0" fontId="33" fillId="0" borderId="0" xfId="1" applyFont="1" applyAlignment="1">
      <alignment horizontal="left"/>
    </xf>
    <xf numFmtId="0" fontId="18" fillId="0" borderId="0" xfId="1" applyFont="1" applyAlignment="1">
      <alignment horizontal="center"/>
    </xf>
    <xf numFmtId="0" fontId="12" fillId="0" borderId="0" xfId="1" applyFont="1" applyAlignment="1">
      <alignment horizontal="right"/>
    </xf>
    <xf numFmtId="0" fontId="9" fillId="0" borderId="0" xfId="1" applyFont="1"/>
    <xf numFmtId="0" fontId="9" fillId="0" borderId="0" xfId="1" applyFont="1" applyAlignment="1">
      <alignment vertical="center"/>
    </xf>
    <xf numFmtId="0" fontId="3" fillId="0" borderId="34" xfId="1" applyBorder="1"/>
    <xf numFmtId="0" fontId="3" fillId="0" borderId="34" xfId="1" applyBorder="1" applyAlignment="1">
      <alignment horizontal="right"/>
    </xf>
    <xf numFmtId="0" fontId="3" fillId="0" borderId="16" xfId="1" applyBorder="1"/>
    <xf numFmtId="0" fontId="3" fillId="0" borderId="16" xfId="1" applyBorder="1" applyAlignment="1">
      <alignment horizontal="right"/>
    </xf>
    <xf numFmtId="0" fontId="3" fillId="0" borderId="27" xfId="1" applyBorder="1"/>
    <xf numFmtId="0" fontId="3" fillId="0" borderId="27" xfId="1" applyBorder="1" applyAlignment="1">
      <alignment horizontal="right"/>
    </xf>
    <xf numFmtId="0" fontId="8" fillId="0" borderId="0" xfId="1" applyFont="1"/>
    <xf numFmtId="0" fontId="3" fillId="0" borderId="35" xfId="1" applyBorder="1" applyAlignment="1">
      <alignment horizontal="left"/>
    </xf>
    <xf numFmtId="0" fontId="3" fillId="0" borderId="36" xfId="1" applyBorder="1" applyAlignment="1">
      <alignment horizontal="right"/>
    </xf>
    <xf numFmtId="0" fontId="9" fillId="0" borderId="37" xfId="1" applyFont="1" applyBorder="1"/>
    <xf numFmtId="0" fontId="3" fillId="0" borderId="38" xfId="1" applyBorder="1" applyAlignment="1">
      <alignment horizontal="left"/>
    </xf>
    <xf numFmtId="0" fontId="3" fillId="0" borderId="15" xfId="1" applyBorder="1" applyAlignment="1">
      <alignment horizontal="right"/>
    </xf>
    <xf numFmtId="0" fontId="3" fillId="0" borderId="39" xfId="1" applyBorder="1"/>
    <xf numFmtId="0" fontId="3" fillId="0" borderId="0" xfId="1" applyAlignment="1">
      <alignment horizontal="center"/>
    </xf>
    <xf numFmtId="0" fontId="21" fillId="0" borderId="0" xfId="1" applyFont="1"/>
    <xf numFmtId="0" fontId="3" fillId="9" borderId="0" xfId="1" applyFill="1" applyAlignment="1">
      <alignment horizontal="left"/>
    </xf>
    <xf numFmtId="0" fontId="3" fillId="9" borderId="0" xfId="1" applyFill="1"/>
    <xf numFmtId="0" fontId="3" fillId="9" borderId="0" xfId="1" applyFill="1" applyAlignment="1">
      <alignment horizontal="center"/>
    </xf>
    <xf numFmtId="0" fontId="34" fillId="0" borderId="0" xfId="1" applyFont="1" applyAlignment="1">
      <alignment horizontal="left"/>
    </xf>
    <xf numFmtId="0" fontId="27" fillId="16" borderId="0" xfId="1" applyFont="1" applyFill="1" applyAlignment="1">
      <alignment horizontal="center" vertical="center"/>
    </xf>
    <xf numFmtId="0" fontId="27" fillId="16" borderId="0" xfId="1" applyFont="1" applyFill="1" applyAlignment="1">
      <alignment horizontal="left" vertical="center"/>
    </xf>
    <xf numFmtId="0" fontId="35" fillId="17" borderId="0" xfId="1" applyFont="1" applyFill="1" applyAlignment="1">
      <alignment horizontal="left" vertical="center"/>
    </xf>
    <xf numFmtId="0" fontId="3" fillId="0" borderId="40" xfId="1" applyBorder="1" applyAlignment="1">
      <alignment horizontal="center"/>
    </xf>
    <xf numFmtId="0" fontId="3" fillId="0" borderId="41" xfId="1" applyBorder="1" applyAlignment="1">
      <alignment horizontal="center"/>
    </xf>
    <xf numFmtId="0" fontId="3" fillId="0" borderId="42" xfId="1" applyBorder="1" applyAlignment="1">
      <alignment horizontal="left"/>
    </xf>
    <xf numFmtId="9" fontId="3" fillId="0" borderId="0" xfId="1" applyNumberFormat="1" applyAlignment="1">
      <alignment horizontal="left"/>
    </xf>
    <xf numFmtId="0" fontId="3" fillId="0" borderId="43" xfId="1" applyBorder="1" applyAlignment="1">
      <alignment horizontal="center"/>
    </xf>
    <xf numFmtId="0" fontId="3" fillId="0" borderId="44" xfId="1" applyBorder="1" applyAlignment="1">
      <alignment horizontal="center"/>
    </xf>
    <xf numFmtId="0" fontId="3" fillId="0" borderId="45" xfId="1" applyBorder="1" applyAlignment="1">
      <alignment horizontal="left"/>
    </xf>
    <xf numFmtId="0" fontId="3" fillId="2" borderId="43" xfId="1" applyFill="1" applyBorder="1" applyAlignment="1">
      <alignment horizontal="center"/>
    </xf>
    <xf numFmtId="0" fontId="3" fillId="2" borderId="44" xfId="1" applyFill="1" applyBorder="1" applyAlignment="1">
      <alignment horizontal="center"/>
    </xf>
    <xf numFmtId="0" fontId="3" fillId="2" borderId="45" xfId="1" applyFill="1" applyBorder="1" applyAlignment="1">
      <alignment horizontal="left"/>
    </xf>
    <xf numFmtId="9" fontId="3" fillId="2" borderId="0" xfId="1" applyNumberFormat="1" applyFill="1" applyAlignment="1">
      <alignment horizontal="left"/>
    </xf>
    <xf numFmtId="0" fontId="36" fillId="0" borderId="0" xfId="1" applyFont="1" applyAlignment="1">
      <alignment horizontal="left" vertical="center" indent="1"/>
    </xf>
    <xf numFmtId="0" fontId="37" fillId="0" borderId="0" xfId="1" applyFont="1" applyAlignment="1">
      <alignment horizontal="left" vertical="center" indent="4"/>
    </xf>
    <xf numFmtId="0" fontId="3" fillId="0" borderId="46" xfId="1" applyBorder="1"/>
    <xf numFmtId="0" fontId="3" fillId="0" borderId="47" xfId="1" applyBorder="1"/>
    <xf numFmtId="0" fontId="3" fillId="0" borderId="47" xfId="1" applyBorder="1" applyAlignment="1">
      <alignment horizontal="center"/>
    </xf>
    <xf numFmtId="0" fontId="3" fillId="0" borderId="48" xfId="1" applyBorder="1" applyAlignment="1">
      <alignment horizontal="left"/>
    </xf>
    <xf numFmtId="170" fontId="38" fillId="0" borderId="0" xfId="1" applyNumberFormat="1" applyFont="1" applyAlignment="1">
      <alignment horizontal="left" vertical="center" indent="4"/>
    </xf>
    <xf numFmtId="0" fontId="31" fillId="0" borderId="0" xfId="1" applyFont="1" applyAlignment="1">
      <alignment horizontal="left"/>
    </xf>
    <xf numFmtId="0" fontId="21" fillId="0" borderId="0" xfId="1" applyFont="1" applyAlignment="1">
      <alignment horizontal="left"/>
    </xf>
    <xf numFmtId="0" fontId="3" fillId="0" borderId="37" xfId="1" applyBorder="1"/>
    <xf numFmtId="0" fontId="3" fillId="0" borderId="0" xfId="1" applyAlignment="1">
      <alignment horizontal="center" vertical="center"/>
    </xf>
    <xf numFmtId="0" fontId="39" fillId="0" borderId="0" xfId="1" applyFont="1" applyAlignment="1">
      <alignment horizontal="left" vertical="center" indent="4"/>
    </xf>
    <xf numFmtId="0" fontId="3" fillId="0" borderId="1" xfId="1" applyBorder="1"/>
    <xf numFmtId="170" fontId="39" fillId="0" borderId="0" xfId="1" applyNumberFormat="1" applyFont="1" applyAlignment="1">
      <alignment horizontal="left" vertical="center" indent="4"/>
    </xf>
    <xf numFmtId="0" fontId="40" fillId="0" borderId="0" xfId="1" applyFont="1" applyAlignment="1">
      <alignment horizontal="left" vertical="center" indent="1"/>
    </xf>
    <xf numFmtId="0" fontId="37" fillId="0" borderId="0" xfId="1" applyFont="1" applyAlignment="1">
      <alignment horizontal="left" vertical="center" indent="1"/>
    </xf>
    <xf numFmtId="0" fontId="10" fillId="0" borderId="0" xfId="1" applyFont="1"/>
    <xf numFmtId="0" fontId="37" fillId="2" borderId="0" xfId="1" applyFont="1" applyFill="1" applyAlignment="1">
      <alignment horizontal="left" vertical="center" indent="4"/>
    </xf>
    <xf numFmtId="0" fontId="21" fillId="11" borderId="0" xfId="1" applyFont="1" applyFill="1" applyAlignment="1">
      <alignment horizontal="right"/>
    </xf>
    <xf numFmtId="3" fontId="3" fillId="11" borderId="0" xfId="1" applyNumberFormat="1" applyFill="1" applyAlignment="1">
      <alignment horizontal="left" vertical="center"/>
    </xf>
    <xf numFmtId="0" fontId="21" fillId="0" borderId="0" xfId="1" applyFont="1" applyAlignment="1">
      <alignment horizontal="right"/>
    </xf>
    <xf numFmtId="1" fontId="21" fillId="0" borderId="0" xfId="1" applyNumberFormat="1" applyFont="1" applyAlignment="1">
      <alignment horizontal="right"/>
    </xf>
    <xf numFmtId="0" fontId="21" fillId="18" borderId="0" xfId="1" applyFont="1" applyFill="1" applyAlignment="1">
      <alignment horizontal="right"/>
    </xf>
    <xf numFmtId="0" fontId="3" fillId="18" borderId="0" xfId="1" applyFill="1" applyAlignment="1">
      <alignment horizontal="left" vertical="center"/>
    </xf>
    <xf numFmtId="0" fontId="21" fillId="9" borderId="0" xfId="1" applyFont="1" applyFill="1" applyAlignment="1">
      <alignment horizontal="right"/>
    </xf>
    <xf numFmtId="0" fontId="21" fillId="9" borderId="0" xfId="1" applyFont="1" applyFill="1" applyAlignment="1">
      <alignment horizontal="center" vertical="center"/>
    </xf>
    <xf numFmtId="0" fontId="21" fillId="9" borderId="0" xfId="1" applyFont="1" applyFill="1" applyAlignment="1">
      <alignment horizontal="left" vertical="center"/>
    </xf>
    <xf numFmtId="0" fontId="3" fillId="19" borderId="0" xfId="1" applyFill="1" applyAlignment="1">
      <alignment horizontal="left"/>
    </xf>
    <xf numFmtId="0" fontId="3" fillId="19" borderId="0" xfId="1" applyFill="1"/>
    <xf numFmtId="0" fontId="3" fillId="19" borderId="0" xfId="1" applyFill="1" applyAlignment="1">
      <alignment horizontal="center"/>
    </xf>
    <xf numFmtId="3" fontId="12" fillId="2" borderId="0" xfId="1" applyNumberFormat="1" applyFont="1" applyFill="1" applyAlignment="1">
      <alignment horizontal="left"/>
    </xf>
    <xf numFmtId="0" fontId="10" fillId="0" borderId="0" xfId="1" applyFont="1" applyAlignment="1">
      <alignment vertical="center"/>
    </xf>
    <xf numFmtId="0" fontId="10" fillId="0" borderId="0" xfId="1" applyFont="1" applyAlignment="1">
      <alignment horizontal="right" vertical="center" wrapText="1"/>
    </xf>
    <xf numFmtId="0" fontId="41" fillId="0" borderId="0" xfId="1" applyFont="1" applyAlignment="1">
      <alignment horizontal="right" indent="3"/>
    </xf>
    <xf numFmtId="0" fontId="27" fillId="20" borderId="0" xfId="1" applyFont="1" applyFill="1" applyAlignment="1">
      <alignment horizontal="left"/>
    </xf>
    <xf numFmtId="0" fontId="27" fillId="20" borderId="0" xfId="1" applyFont="1" applyFill="1"/>
    <xf numFmtId="0" fontId="42" fillId="17" borderId="0" xfId="1" applyFont="1" applyFill="1" applyAlignment="1">
      <alignment horizontal="center"/>
    </xf>
    <xf numFmtId="0" fontId="30" fillId="17" borderId="0" xfId="1" applyFont="1" applyFill="1"/>
    <xf numFmtId="3" fontId="3" fillId="0" borderId="0" xfId="1" applyNumberFormat="1" applyAlignment="1">
      <alignment horizontal="left"/>
    </xf>
    <xf numFmtId="1" fontId="3" fillId="0" borderId="0" xfId="1" applyNumberFormat="1" applyAlignment="1">
      <alignment horizontal="right"/>
    </xf>
    <xf numFmtId="3" fontId="3" fillId="18" borderId="0" xfId="1" applyNumberFormat="1" applyFill="1" applyAlignment="1">
      <alignment horizontal="left"/>
    </xf>
    <xf numFmtId="1" fontId="3" fillId="0" borderId="0" xfId="1" applyNumberFormat="1" applyAlignment="1">
      <alignment horizontal="center"/>
    </xf>
    <xf numFmtId="3" fontId="8" fillId="21" borderId="0" xfId="1" applyNumberFormat="1" applyFont="1" applyFill="1" applyAlignment="1">
      <alignment horizontal="center"/>
    </xf>
    <xf numFmtId="3" fontId="3" fillId="0" borderId="0" xfId="1" applyNumberFormat="1" applyAlignment="1">
      <alignment horizontal="center"/>
    </xf>
    <xf numFmtId="3" fontId="3" fillId="0" borderId="0" xfId="1" applyNumberFormat="1"/>
    <xf numFmtId="0" fontId="43" fillId="22" borderId="0" xfId="1" applyFont="1" applyFill="1"/>
    <xf numFmtId="0" fontId="44" fillId="22" borderId="0" xfId="1" applyFont="1" applyFill="1"/>
    <xf numFmtId="0" fontId="19" fillId="0" borderId="34" xfId="1" applyFont="1" applyBorder="1"/>
    <xf numFmtId="2" fontId="3" fillId="0" borderId="34" xfId="1" applyNumberFormat="1" applyBorder="1"/>
    <xf numFmtId="2" fontId="3" fillId="7" borderId="0" xfId="1" applyNumberFormat="1" applyFill="1"/>
    <xf numFmtId="0" fontId="19" fillId="0" borderId="16" xfId="1" applyFont="1" applyBorder="1"/>
    <xf numFmtId="2" fontId="3" fillId="0" borderId="16" xfId="1" applyNumberFormat="1" applyBorder="1"/>
    <xf numFmtId="0" fontId="3" fillId="10" borderId="27" xfId="1" applyFill="1" applyBorder="1"/>
    <xf numFmtId="0" fontId="19" fillId="10" borderId="27" xfId="1" applyFont="1" applyFill="1" applyBorder="1"/>
    <xf numFmtId="2" fontId="3" fillId="10" borderId="27" xfId="1" applyNumberFormat="1" applyFill="1" applyBorder="1"/>
    <xf numFmtId="0" fontId="3" fillId="4" borderId="0" xfId="1" applyFill="1"/>
    <xf numFmtId="0" fontId="19" fillId="4" borderId="0" xfId="1" applyFont="1" applyFill="1"/>
    <xf numFmtId="2" fontId="3" fillId="4" borderId="0" xfId="1" applyNumberFormat="1" applyFill="1"/>
    <xf numFmtId="0" fontId="3" fillId="7" borderId="0" xfId="1" applyFill="1"/>
    <xf numFmtId="2" fontId="3" fillId="7" borderId="34" xfId="1" applyNumberFormat="1" applyFill="1" applyBorder="1"/>
    <xf numFmtId="2" fontId="3" fillId="7" borderId="16" xfId="1" applyNumberFormat="1" applyFill="1" applyBorder="1"/>
    <xf numFmtId="0" fontId="19" fillId="0" borderId="27" xfId="1" applyFont="1" applyBorder="1"/>
    <xf numFmtId="2" fontId="3" fillId="0" borderId="27" xfId="1" applyNumberFormat="1" applyBorder="1"/>
    <xf numFmtId="2" fontId="3" fillId="7" borderId="27" xfId="1" applyNumberFormat="1" applyFill="1" applyBorder="1"/>
    <xf numFmtId="0" fontId="8" fillId="0" borderId="0" xfId="1" applyFont="1" applyAlignment="1">
      <alignment horizontal="right"/>
    </xf>
    <xf numFmtId="2" fontId="45" fillId="0" borderId="0" xfId="1" applyNumberFormat="1" applyFont="1"/>
    <xf numFmtId="17" fontId="8" fillId="0" borderId="0" xfId="1" applyNumberFormat="1" applyFont="1"/>
    <xf numFmtId="2" fontId="9" fillId="0" borderId="0" xfId="1" applyNumberFormat="1" applyFont="1"/>
    <xf numFmtId="0" fontId="10" fillId="0" borderId="27" xfId="1" applyFont="1" applyBorder="1"/>
    <xf numFmtId="0" fontId="0" fillId="0" borderId="0" xfId="0" applyAlignment="1">
      <alignment horizontal="right"/>
    </xf>
    <xf numFmtId="0" fontId="46" fillId="0" borderId="0" xfId="0" applyFont="1"/>
    <xf numFmtId="0" fontId="0" fillId="2" borderId="0" xfId="0" applyFill="1"/>
    <xf numFmtId="0" fontId="8" fillId="0" borderId="0" xfId="0" applyFont="1"/>
    <xf numFmtId="0" fontId="8" fillId="2" borderId="0" xfId="0" applyFont="1" applyFill="1" applyAlignment="1">
      <alignment horizontal="right"/>
    </xf>
    <xf numFmtId="164" fontId="8" fillId="7" borderId="0" xfId="0" applyNumberFormat="1" applyFont="1" applyFill="1"/>
    <xf numFmtId="10" fontId="0" fillId="7" borderId="0" xfId="0" applyNumberFormat="1" applyFill="1"/>
    <xf numFmtId="3" fontId="0" fillId="7" borderId="0" xfId="0" applyNumberFormat="1" applyFill="1"/>
    <xf numFmtId="4" fontId="0" fillId="7" borderId="0" xfId="0" applyNumberFormat="1" applyFill="1"/>
    <xf numFmtId="9" fontId="0" fillId="0" borderId="0" xfId="0" applyNumberFormat="1"/>
    <xf numFmtId="164" fontId="3" fillId="10" borderId="4" xfId="0" applyNumberFormat="1" applyFont="1" applyFill="1" applyBorder="1"/>
    <xf numFmtId="164" fontId="8" fillId="4" borderId="49" xfId="0" applyNumberFormat="1" applyFont="1" applyFill="1" applyBorder="1"/>
    <xf numFmtId="0" fontId="47" fillId="0" borderId="0" xfId="0" applyFont="1" applyAlignment="1">
      <alignment horizontal="center"/>
    </xf>
    <xf numFmtId="0" fontId="3" fillId="23" borderId="0" xfId="1" applyFill="1"/>
    <xf numFmtId="3" fontId="48" fillId="23" borderId="0" xfId="1" applyNumberFormat="1" applyFont="1" applyFill="1"/>
    <xf numFmtId="3" fontId="3" fillId="23" borderId="0" xfId="1" applyNumberFormat="1" applyFill="1"/>
    <xf numFmtId="3" fontId="46" fillId="23" borderId="0" xfId="1" applyNumberFormat="1" applyFont="1" applyFill="1"/>
    <xf numFmtId="0" fontId="3" fillId="23" borderId="0" xfId="1" applyFill="1" applyAlignment="1">
      <alignment horizontal="right"/>
    </xf>
    <xf numFmtId="164" fontId="49" fillId="9" borderId="2" xfId="0" applyNumberFormat="1" applyFont="1" applyFill="1" applyBorder="1"/>
    <xf numFmtId="17" fontId="22" fillId="12" borderId="0" xfId="0" quotePrefix="1" applyNumberFormat="1" applyFont="1" applyFill="1"/>
    <xf numFmtId="0" fontId="22" fillId="0" borderId="0" xfId="0" quotePrefix="1" applyFont="1"/>
    <xf numFmtId="0" fontId="22" fillId="12" borderId="0" xfId="0" quotePrefix="1" applyFont="1" applyFill="1"/>
    <xf numFmtId="0" fontId="51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50" fillId="0" borderId="0" xfId="0" applyFont="1" applyAlignment="1">
      <alignment horizontal="right" vertical="center" wrapText="1"/>
    </xf>
    <xf numFmtId="168" fontId="0" fillId="0" borderId="0" xfId="0" applyNumberFormat="1"/>
    <xf numFmtId="168" fontId="46" fillId="0" borderId="0" xfId="0" applyNumberFormat="1" applyFont="1"/>
    <xf numFmtId="168" fontId="53" fillId="0" borderId="0" xfId="0" applyNumberFormat="1" applyFont="1"/>
    <xf numFmtId="0" fontId="56" fillId="0" borderId="0" xfId="0" applyFont="1" applyAlignment="1">
      <alignment vertical="center"/>
    </xf>
    <xf numFmtId="0" fontId="50" fillId="24" borderId="35" xfId="0" applyFont="1" applyFill="1" applyBorder="1" applyAlignment="1">
      <alignment horizontal="left" vertical="center" wrapText="1"/>
    </xf>
    <xf numFmtId="0" fontId="50" fillId="0" borderId="36" xfId="0" applyFont="1" applyBorder="1" applyAlignment="1">
      <alignment vertical="center" wrapText="1"/>
    </xf>
    <xf numFmtId="168" fontId="50" fillId="0" borderId="36" xfId="0" applyNumberFormat="1" applyFont="1" applyBorder="1" applyAlignment="1">
      <alignment vertical="center"/>
    </xf>
    <xf numFmtId="0" fontId="50" fillId="24" borderId="50" xfId="0" applyFont="1" applyFill="1" applyBorder="1" applyAlignment="1">
      <alignment horizontal="left" vertical="center" wrapText="1"/>
    </xf>
    <xf numFmtId="168" fontId="50" fillId="0" borderId="0" xfId="0" applyNumberFormat="1" applyFont="1" applyAlignment="1">
      <alignment vertical="center"/>
    </xf>
    <xf numFmtId="168" fontId="50" fillId="25" borderId="0" xfId="0" applyNumberFormat="1" applyFont="1" applyFill="1" applyAlignment="1">
      <alignment vertical="center"/>
    </xf>
    <xf numFmtId="0" fontId="50" fillId="24" borderId="38" xfId="0" applyFont="1" applyFill="1" applyBorder="1" applyAlignment="1">
      <alignment horizontal="left" vertical="center" wrapText="1"/>
    </xf>
    <xf numFmtId="0" fontId="50" fillId="0" borderId="15" xfId="0" applyFont="1" applyBorder="1" applyAlignment="1">
      <alignment vertical="center" wrapText="1"/>
    </xf>
    <xf numFmtId="168" fontId="50" fillId="0" borderId="15" xfId="0" applyNumberFormat="1" applyFont="1" applyBorder="1" applyAlignment="1">
      <alignment vertical="center"/>
    </xf>
    <xf numFmtId="0" fontId="50" fillId="0" borderId="35" xfId="0" applyFont="1" applyBorder="1" applyAlignment="1">
      <alignment horizontal="left" vertical="center" wrapText="1"/>
    </xf>
    <xf numFmtId="0" fontId="50" fillId="0" borderId="50" xfId="0" applyFont="1" applyBorder="1" applyAlignment="1">
      <alignment horizontal="left" vertical="center" wrapText="1"/>
    </xf>
    <xf numFmtId="0" fontId="50" fillId="0" borderId="38" xfId="0" applyFont="1" applyBorder="1" applyAlignment="1">
      <alignment horizontal="left" vertical="center" wrapText="1"/>
    </xf>
    <xf numFmtId="168" fontId="55" fillId="0" borderId="0" xfId="0" applyNumberFormat="1" applyFont="1"/>
    <xf numFmtId="0" fontId="3" fillId="23" borderId="0" xfId="1" applyFill="1" applyAlignment="1">
      <alignment horizontal="left"/>
    </xf>
    <xf numFmtId="0" fontId="2" fillId="0" borderId="0" xfId="2"/>
    <xf numFmtId="0" fontId="58" fillId="0" borderId="0" xfId="0" applyFont="1" applyAlignment="1">
      <alignment horizontal="left"/>
    </xf>
    <xf numFmtId="0" fontId="57" fillId="26" borderId="0" xfId="2" applyFont="1" applyFill="1"/>
    <xf numFmtId="0" fontId="59" fillId="0" borderId="0" xfId="2" applyFont="1"/>
    <xf numFmtId="0" fontId="60" fillId="0" borderId="0" xfId="2" applyFont="1"/>
    <xf numFmtId="164" fontId="8" fillId="4" borderId="0" xfId="0" applyNumberFormat="1" applyFont="1" applyFill="1"/>
    <xf numFmtId="164" fontId="49" fillId="9" borderId="0" xfId="0" applyNumberFormat="1" applyFont="1" applyFill="1"/>
    <xf numFmtId="168" fontId="0" fillId="0" borderId="51" xfId="0" applyNumberFormat="1" applyBorder="1"/>
    <xf numFmtId="168" fontId="0" fillId="0" borderId="52" xfId="0" applyNumberFormat="1" applyBorder="1"/>
    <xf numFmtId="168" fontId="0" fillId="0" borderId="53" xfId="0" applyNumberFormat="1" applyBorder="1"/>
    <xf numFmtId="168" fontId="0" fillId="0" borderId="54" xfId="0" applyNumberFormat="1" applyBorder="1"/>
    <xf numFmtId="0" fontId="58" fillId="0" borderId="0" xfId="1" applyFont="1"/>
    <xf numFmtId="171" fontId="3" fillId="0" borderId="0" xfId="1" applyNumberFormat="1" applyAlignment="1">
      <alignment horizontal="left"/>
    </xf>
    <xf numFmtId="0" fontId="3" fillId="27" borderId="0" xfId="1" applyFill="1"/>
    <xf numFmtId="0" fontId="3" fillId="27" borderId="0" xfId="1" applyFill="1" applyAlignment="1">
      <alignment horizontal="right"/>
    </xf>
    <xf numFmtId="171" fontId="3" fillId="23" borderId="0" xfId="1" applyNumberFormat="1" applyFill="1" applyAlignment="1">
      <alignment horizontal="right"/>
    </xf>
    <xf numFmtId="0" fontId="50" fillId="0" borderId="0" xfId="0" applyFont="1" applyAlignment="1">
      <alignment horizontal="left" vertical="center" wrapText="1"/>
    </xf>
    <xf numFmtId="0" fontId="63" fillId="0" borderId="0" xfId="0" applyFont="1" applyAlignment="1">
      <alignment horizontal="right" vertical="center"/>
    </xf>
    <xf numFmtId="0" fontId="50" fillId="0" borderId="0" xfId="0" applyFont="1" applyAlignment="1">
      <alignment horizontal="right" vertical="center"/>
    </xf>
    <xf numFmtId="4" fontId="50" fillId="0" borderId="0" xfId="0" applyNumberFormat="1" applyFont="1" applyAlignment="1">
      <alignment horizontal="right" vertical="center"/>
    </xf>
    <xf numFmtId="0" fontId="0" fillId="0" borderId="4" xfId="0" applyBorder="1"/>
    <xf numFmtId="0" fontId="0" fillId="0" borderId="6" xfId="0" applyBorder="1"/>
    <xf numFmtId="164" fontId="0" fillId="3" borderId="30" xfId="0" applyNumberFormat="1" applyFill="1" applyBorder="1"/>
    <xf numFmtId="0" fontId="5" fillId="2" borderId="30" xfId="0" applyFont="1" applyFill="1" applyBorder="1" applyAlignment="1">
      <alignment horizontal="center"/>
    </xf>
    <xf numFmtId="17" fontId="22" fillId="0" borderId="0" xfId="0" quotePrefix="1" applyNumberFormat="1" applyFont="1"/>
    <xf numFmtId="8" fontId="50" fillId="0" borderId="0" xfId="0" applyNumberFormat="1" applyFont="1" applyAlignment="1">
      <alignment horizontal="right" vertical="center" wrapText="1"/>
    </xf>
    <xf numFmtId="4" fontId="50" fillId="0" borderId="15" xfId="0" applyNumberFormat="1" applyFont="1" applyBorder="1" applyAlignment="1">
      <alignment horizontal="right" vertical="center"/>
    </xf>
    <xf numFmtId="0" fontId="64" fillId="0" borderId="0" xfId="0" applyFont="1"/>
    <xf numFmtId="0" fontId="65" fillId="0" borderId="0" xfId="0" applyFont="1"/>
    <xf numFmtId="0" fontId="0" fillId="28" borderId="0" xfId="0" applyFill="1"/>
    <xf numFmtId="0" fontId="49" fillId="28" borderId="55" xfId="0" applyFont="1" applyFill="1" applyBorder="1"/>
    <xf numFmtId="0" fontId="49" fillId="28" borderId="56" xfId="0" applyFont="1" applyFill="1" applyBorder="1"/>
    <xf numFmtId="0" fontId="55" fillId="28" borderId="55" xfId="0" applyFont="1" applyFill="1" applyBorder="1"/>
    <xf numFmtId="172" fontId="0" fillId="28" borderId="0" xfId="0" applyNumberFormat="1" applyFill="1"/>
    <xf numFmtId="172" fontId="0" fillId="28" borderId="57" xfId="0" applyNumberFormat="1" applyFill="1" applyBorder="1"/>
    <xf numFmtId="172" fontId="49" fillId="28" borderId="0" xfId="0" applyNumberFormat="1" applyFont="1" applyFill="1"/>
    <xf numFmtId="172" fontId="63" fillId="28" borderId="0" xfId="0" applyNumberFormat="1" applyFont="1" applyFill="1"/>
    <xf numFmtId="0" fontId="66" fillId="28" borderId="0" xfId="0" applyFont="1" applyFill="1" applyAlignment="1">
      <alignment horizontal="right"/>
    </xf>
    <xf numFmtId="173" fontId="67" fillId="28" borderId="0" xfId="0" applyNumberFormat="1" applyFont="1" applyFill="1"/>
    <xf numFmtId="173" fontId="0" fillId="28" borderId="0" xfId="0" applyNumberFormat="1" applyFill="1"/>
    <xf numFmtId="172" fontId="68" fillId="28" borderId="0" xfId="0" applyNumberFormat="1" applyFont="1" applyFill="1"/>
    <xf numFmtId="172" fontId="68" fillId="28" borderId="58" xfId="0" applyNumberFormat="1" applyFont="1" applyFill="1" applyBorder="1"/>
    <xf numFmtId="172" fontId="69" fillId="28" borderId="0" xfId="0" applyNumberFormat="1" applyFont="1" applyFill="1"/>
    <xf numFmtId="172" fontId="55" fillId="28" borderId="0" xfId="0" applyNumberFormat="1" applyFont="1" applyFill="1"/>
    <xf numFmtId="0" fontId="70" fillId="28" borderId="0" xfId="0" applyFont="1" applyFill="1" applyAlignment="1">
      <alignment horizontal="right"/>
    </xf>
    <xf numFmtId="0" fontId="71" fillId="28" borderId="0" xfId="0" applyFont="1" applyFill="1" applyAlignment="1">
      <alignment horizontal="right"/>
    </xf>
    <xf numFmtId="0" fontId="71" fillId="28" borderId="0" xfId="0" applyFont="1" applyFill="1"/>
    <xf numFmtId="0" fontId="72" fillId="28" borderId="55" xfId="0" applyFont="1" applyFill="1" applyBorder="1" applyAlignment="1">
      <alignment horizontal="right"/>
    </xf>
    <xf numFmtId="0" fontId="49" fillId="29" borderId="0" xfId="0" applyFont="1" applyFill="1" applyAlignment="1">
      <alignment horizontal="center" vertical="center"/>
    </xf>
    <xf numFmtId="0" fontId="61" fillId="0" borderId="0" xfId="0" applyFont="1"/>
    <xf numFmtId="0" fontId="73" fillId="0" borderId="0" xfId="0" applyFont="1"/>
    <xf numFmtId="0" fontId="58" fillId="0" borderId="0" xfId="0" applyFont="1" applyAlignment="1">
      <alignment horizontal="center" vertical="center"/>
    </xf>
    <xf numFmtId="0" fontId="58" fillId="30" borderId="0" xfId="0" applyFont="1" applyFill="1" applyAlignment="1">
      <alignment horizontal="center" vertical="center"/>
    </xf>
    <xf numFmtId="0" fontId="0" fillId="30" borderId="0" xfId="0" applyFill="1"/>
    <xf numFmtId="0" fontId="0" fillId="0" borderId="59" xfId="0" applyBorder="1"/>
    <xf numFmtId="0" fontId="0" fillId="0" borderId="60" xfId="0" applyBorder="1"/>
    <xf numFmtId="0" fontId="76" fillId="0" borderId="0" xfId="0" applyFont="1"/>
    <xf numFmtId="0" fontId="0" fillId="0" borderId="62" xfId="0" applyBorder="1"/>
    <xf numFmtId="0" fontId="77" fillId="0" borderId="0" xfId="0" applyFont="1"/>
    <xf numFmtId="0" fontId="48" fillId="0" borderId="0" xfId="0" applyFont="1" applyAlignment="1">
      <alignment horizontal="center" vertical="center"/>
    </xf>
    <xf numFmtId="2" fontId="0" fillId="31" borderId="0" xfId="0" applyNumberFormat="1" applyFill="1"/>
    <xf numFmtId="0" fontId="0" fillId="34" borderId="0" xfId="0" applyFill="1"/>
    <xf numFmtId="0" fontId="49" fillId="34" borderId="0" xfId="0" applyFont="1" applyFill="1" applyAlignment="1">
      <alignment horizontal="center" vertical="center"/>
    </xf>
    <xf numFmtId="17" fontId="0" fillId="34" borderId="0" xfId="0" applyNumberFormat="1" applyFill="1"/>
    <xf numFmtId="17" fontId="0" fillId="34" borderId="0" xfId="0" applyNumberFormat="1" applyFill="1" applyAlignment="1">
      <alignment vertical="center"/>
    </xf>
    <xf numFmtId="0" fontId="83" fillId="38" borderId="0" xfId="0" applyFont="1" applyFill="1" applyAlignment="1">
      <alignment horizontal="center" vertical="center"/>
    </xf>
    <xf numFmtId="0" fontId="58" fillId="39" borderId="0" xfId="0" applyFont="1" applyFill="1" applyAlignment="1">
      <alignment horizontal="center" vertical="center"/>
    </xf>
    <xf numFmtId="0" fontId="0" fillId="39" borderId="0" xfId="0" applyFill="1"/>
    <xf numFmtId="164" fontId="8" fillId="7" borderId="10" xfId="0" applyNumberFormat="1" applyFont="1" applyFill="1" applyBorder="1"/>
    <xf numFmtId="164" fontId="0" fillId="0" borderId="63" xfId="0" applyNumberFormat="1" applyBorder="1"/>
    <xf numFmtId="168" fontId="0" fillId="0" borderId="64" xfId="0" applyNumberFormat="1" applyBorder="1"/>
    <xf numFmtId="0" fontId="76" fillId="0" borderId="0" xfId="0" applyFont="1" applyAlignment="1">
      <alignment horizontal="right" vertical="center"/>
    </xf>
    <xf numFmtId="0" fontId="84" fillId="0" borderId="0" xfId="0" applyFont="1" applyAlignment="1">
      <alignment horizontal="right" vertical="center"/>
    </xf>
    <xf numFmtId="2" fontId="85" fillId="25" borderId="0" xfId="2" applyNumberFormat="1" applyFont="1" applyFill="1"/>
    <xf numFmtId="4" fontId="84" fillId="0" borderId="0" xfId="0" applyNumberFormat="1" applyFont="1" applyAlignment="1">
      <alignment horizontal="right" vertical="center"/>
    </xf>
    <xf numFmtId="4" fontId="76" fillId="0" borderId="0" xfId="0" applyNumberFormat="1" applyFont="1" applyAlignment="1">
      <alignment horizontal="right" vertical="center"/>
    </xf>
    <xf numFmtId="0" fontId="86" fillId="0" borderId="0" xfId="2" applyFont="1" applyAlignment="1">
      <alignment horizontal="left"/>
    </xf>
    <xf numFmtId="0" fontId="85" fillId="25" borderId="0" xfId="2" applyFont="1" applyFill="1"/>
    <xf numFmtId="4" fontId="86" fillId="0" borderId="0" xfId="2" applyNumberFormat="1" applyFont="1" applyAlignment="1">
      <alignment horizontal="left"/>
    </xf>
    <xf numFmtId="4" fontId="85" fillId="25" borderId="0" xfId="2" applyNumberFormat="1" applyFont="1" applyFill="1"/>
    <xf numFmtId="174" fontId="0" fillId="0" borderId="0" xfId="0" applyNumberFormat="1"/>
    <xf numFmtId="175" fontId="72" fillId="40" borderId="0" xfId="0" applyNumberFormat="1" applyFont="1" applyFill="1" applyAlignment="1">
      <alignment horizontal="center"/>
    </xf>
    <xf numFmtId="0" fontId="88" fillId="0" borderId="0" xfId="0" applyFont="1" applyAlignment="1">
      <alignment vertical="center"/>
    </xf>
    <xf numFmtId="0" fontId="90" fillId="41" borderId="65" xfId="0" applyFont="1" applyFill="1" applyBorder="1" applyAlignment="1">
      <alignment vertical="center" wrapText="1"/>
    </xf>
    <xf numFmtId="0" fontId="91" fillId="41" borderId="65" xfId="0" applyFont="1" applyFill="1" applyBorder="1" applyAlignment="1">
      <alignment vertical="center" wrapText="1"/>
    </xf>
    <xf numFmtId="0" fontId="89" fillId="0" borderId="65" xfId="0" applyFont="1" applyBorder="1" applyAlignment="1">
      <alignment vertical="center" wrapText="1"/>
    </xf>
    <xf numFmtId="0" fontId="89" fillId="0" borderId="0" xfId="0" applyFont="1" applyAlignment="1">
      <alignment vertical="center"/>
    </xf>
    <xf numFmtId="0" fontId="90" fillId="42" borderId="65" xfId="0" applyFont="1" applyFill="1" applyBorder="1" applyAlignment="1">
      <alignment vertical="center" wrapText="1"/>
    </xf>
    <xf numFmtId="0" fontId="92" fillId="0" borderId="65" xfId="0" applyFont="1" applyBorder="1" applyAlignment="1">
      <alignment horizontal="center" vertical="center" wrapText="1"/>
    </xf>
    <xf numFmtId="0" fontId="89" fillId="0" borderId="65" xfId="0" applyFont="1" applyBorder="1" applyAlignment="1">
      <alignment horizontal="center" vertical="center" wrapText="1"/>
    </xf>
    <xf numFmtId="0" fontId="0" fillId="0" borderId="66" xfId="0" applyBorder="1" applyAlignment="1">
      <alignment vertical="center"/>
    </xf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8" xfId="0" applyBorder="1" applyAlignment="1">
      <alignment horizontal="right"/>
    </xf>
    <xf numFmtId="0" fontId="0" fillId="0" borderId="69" xfId="0" applyBorder="1"/>
    <xf numFmtId="0" fontId="73" fillId="0" borderId="68" xfId="0" applyFont="1" applyBorder="1" applyAlignment="1">
      <alignment horizontal="right"/>
    </xf>
    <xf numFmtId="0" fontId="49" fillId="0" borderId="0" xfId="0" applyFont="1"/>
    <xf numFmtId="175" fontId="75" fillId="0" borderId="59" xfId="0" applyNumberFormat="1" applyFont="1" applyBorder="1" applyAlignment="1">
      <alignment horizontal="center"/>
    </xf>
    <xf numFmtId="175" fontId="75" fillId="39" borderId="59" xfId="0" applyNumberFormat="1" applyFont="1" applyFill="1" applyBorder="1" applyAlignment="1">
      <alignment horizontal="center"/>
    </xf>
    <xf numFmtId="175" fontId="75" fillId="30" borderId="59" xfId="0" applyNumberFormat="1" applyFont="1" applyFill="1" applyBorder="1" applyAlignment="1">
      <alignment horizontal="center"/>
    </xf>
    <xf numFmtId="175" fontId="0" fillId="0" borderId="60" xfId="0" applyNumberFormat="1" applyBorder="1"/>
    <xf numFmtId="175" fontId="0" fillId="39" borderId="60" xfId="0" applyNumberFormat="1" applyFill="1" applyBorder="1"/>
    <xf numFmtId="175" fontId="0" fillId="30" borderId="60" xfId="0" applyNumberFormat="1" applyFill="1" applyBorder="1"/>
    <xf numFmtId="175" fontId="0" fillId="0" borderId="61" xfId="0" applyNumberFormat="1" applyBorder="1"/>
    <xf numFmtId="175" fontId="0" fillId="0" borderId="62" xfId="0" applyNumberFormat="1" applyBorder="1"/>
    <xf numFmtId="175" fontId="0" fillId="30" borderId="62" xfId="0" applyNumberFormat="1" applyFill="1" applyBorder="1"/>
    <xf numFmtId="175" fontId="0" fillId="0" borderId="0" xfId="0" applyNumberFormat="1"/>
    <xf numFmtId="175" fontId="63" fillId="0" borderId="0" xfId="0" applyNumberFormat="1" applyFont="1"/>
    <xf numFmtId="0" fontId="93" fillId="0" borderId="0" xfId="0" applyFont="1" applyAlignment="1">
      <alignment vertical="center" shrinkToFit="1"/>
    </xf>
    <xf numFmtId="4" fontId="63" fillId="0" borderId="0" xfId="0" applyNumberFormat="1" applyFont="1" applyAlignment="1">
      <alignment horizontal="right" vertical="center"/>
    </xf>
    <xf numFmtId="4" fontId="63" fillId="31" borderId="0" xfId="0" applyNumberFormat="1" applyFont="1" applyFill="1" applyAlignment="1">
      <alignment horizontal="right" vertical="center"/>
    </xf>
    <xf numFmtId="4" fontId="50" fillId="31" borderId="0" xfId="0" applyNumberFormat="1" applyFont="1" applyFill="1" applyAlignment="1">
      <alignment horizontal="right" vertical="center"/>
    </xf>
    <xf numFmtId="0" fontId="95" fillId="0" borderId="0" xfId="0" applyFont="1" applyAlignment="1">
      <alignment horizontal="right" vertical="center" wrapText="1"/>
    </xf>
    <xf numFmtId="175" fontId="0" fillId="25" borderId="60" xfId="0" applyNumberFormat="1" applyFill="1" applyBorder="1"/>
    <xf numFmtId="175" fontId="0" fillId="25" borderId="61" xfId="0" applyNumberFormat="1" applyFill="1" applyBorder="1"/>
    <xf numFmtId="0" fontId="99" fillId="0" borderId="0" xfId="0" applyFont="1" applyAlignment="1">
      <alignment horizontal="left"/>
    </xf>
    <xf numFmtId="0" fontId="102" fillId="0" borderId="0" xfId="0" applyFont="1"/>
    <xf numFmtId="0" fontId="89" fillId="0" borderId="70" xfId="0" applyFont="1" applyBorder="1" applyAlignment="1">
      <alignment vertical="center" wrapText="1"/>
    </xf>
    <xf numFmtId="0" fontId="89" fillId="0" borderId="71" xfId="0" applyFont="1" applyBorder="1" applyAlignment="1">
      <alignment vertical="center"/>
    </xf>
    <xf numFmtId="175" fontId="99" fillId="0" borderId="72" xfId="0" applyNumberFormat="1" applyFont="1" applyBorder="1" applyAlignment="1" applyProtection="1">
      <alignment horizontal="left" vertical="center"/>
      <protection locked="0"/>
    </xf>
    <xf numFmtId="0" fontId="89" fillId="0" borderId="73" xfId="0" applyFont="1" applyBorder="1" applyAlignment="1">
      <alignment vertical="center" wrapText="1"/>
    </xf>
    <xf numFmtId="0" fontId="89" fillId="0" borderId="74" xfId="0" applyFont="1" applyBorder="1" applyAlignment="1">
      <alignment vertical="center"/>
    </xf>
    <xf numFmtId="175" fontId="99" fillId="0" borderId="75" xfId="0" applyNumberFormat="1" applyFont="1" applyBorder="1" applyAlignment="1">
      <alignment horizontal="left" vertical="center"/>
    </xf>
    <xf numFmtId="0" fontId="96" fillId="44" borderId="73" xfId="0" applyFont="1" applyFill="1" applyBorder="1" applyAlignment="1">
      <alignment vertical="center" wrapText="1"/>
    </xf>
    <xf numFmtId="0" fontId="96" fillId="44" borderId="74" xfId="0" applyFont="1" applyFill="1" applyBorder="1" applyAlignment="1">
      <alignment vertical="center"/>
    </xf>
    <xf numFmtId="175" fontId="100" fillId="44" borderId="75" xfId="0" applyNumberFormat="1" applyFont="1" applyFill="1" applyBorder="1" applyAlignment="1">
      <alignment horizontal="left" vertical="center"/>
    </xf>
    <xf numFmtId="0" fontId="89" fillId="45" borderId="73" xfId="0" applyFont="1" applyFill="1" applyBorder="1" applyAlignment="1">
      <alignment vertical="center" wrapText="1"/>
    </xf>
    <xf numFmtId="0" fontId="89" fillId="45" borderId="74" xfId="0" applyFont="1" applyFill="1" applyBorder="1" applyAlignment="1">
      <alignment vertical="center"/>
    </xf>
    <xf numFmtId="175" fontId="99" fillId="45" borderId="75" xfId="0" applyNumberFormat="1" applyFont="1" applyFill="1" applyBorder="1" applyAlignment="1">
      <alignment horizontal="left" vertical="center"/>
    </xf>
    <xf numFmtId="0" fontId="89" fillId="46" borderId="73" xfId="0" applyFont="1" applyFill="1" applyBorder="1" applyAlignment="1">
      <alignment vertical="center" wrapText="1"/>
    </xf>
    <xf numFmtId="0" fontId="89" fillId="46" borderId="74" xfId="0" applyFont="1" applyFill="1" applyBorder="1" applyAlignment="1">
      <alignment vertical="center"/>
    </xf>
    <xf numFmtId="175" fontId="99" fillId="46" borderId="75" xfId="0" applyNumberFormat="1" applyFont="1" applyFill="1" applyBorder="1" applyAlignment="1">
      <alignment horizontal="left" vertical="center"/>
    </xf>
    <xf numFmtId="0" fontId="89" fillId="47" borderId="73" xfId="0" applyFont="1" applyFill="1" applyBorder="1" applyAlignment="1">
      <alignment vertical="center" wrapText="1"/>
    </xf>
    <xf numFmtId="0" fontId="89" fillId="47" borderId="74" xfId="0" applyFont="1" applyFill="1" applyBorder="1" applyAlignment="1">
      <alignment vertical="center"/>
    </xf>
    <xf numFmtId="175" fontId="99" fillId="47" borderId="75" xfId="0" applyNumberFormat="1" applyFont="1" applyFill="1" applyBorder="1" applyAlignment="1">
      <alignment horizontal="left" vertical="center"/>
    </xf>
    <xf numFmtId="0" fontId="97" fillId="0" borderId="74" xfId="0" applyFont="1" applyBorder="1" applyAlignment="1">
      <alignment vertical="center"/>
    </xf>
    <xf numFmtId="0" fontId="89" fillId="48" borderId="73" xfId="0" applyFont="1" applyFill="1" applyBorder="1" applyAlignment="1">
      <alignment vertical="center" wrapText="1"/>
    </xf>
    <xf numFmtId="0" fontId="89" fillId="48" borderId="74" xfId="0" applyFont="1" applyFill="1" applyBorder="1" applyAlignment="1">
      <alignment vertical="center"/>
    </xf>
    <xf numFmtId="175" fontId="99" fillId="48" borderId="75" xfId="0" applyNumberFormat="1" applyFont="1" applyFill="1" applyBorder="1" applyAlignment="1">
      <alignment horizontal="left" vertical="center"/>
    </xf>
    <xf numFmtId="0" fontId="98" fillId="49" borderId="73" xfId="0" applyFont="1" applyFill="1" applyBorder="1" applyAlignment="1">
      <alignment vertical="center" wrapText="1"/>
    </xf>
    <xf numFmtId="0" fontId="98" fillId="49" borderId="74" xfId="0" applyFont="1" applyFill="1" applyBorder="1" applyAlignment="1">
      <alignment vertical="center"/>
    </xf>
    <xf numFmtId="175" fontId="101" fillId="49" borderId="75" xfId="0" applyNumberFormat="1" applyFont="1" applyFill="1" applyBorder="1" applyAlignment="1">
      <alignment horizontal="left" vertical="center"/>
    </xf>
    <xf numFmtId="0" fontId="96" fillId="44" borderId="76" xfId="0" applyFont="1" applyFill="1" applyBorder="1" applyAlignment="1">
      <alignment vertical="center" wrapText="1"/>
    </xf>
    <xf numFmtId="0" fontId="96" fillId="44" borderId="77" xfId="0" applyFont="1" applyFill="1" applyBorder="1" applyAlignment="1">
      <alignment vertical="center"/>
    </xf>
    <xf numFmtId="175" fontId="100" fillId="44" borderId="78" xfId="0" applyNumberFormat="1" applyFont="1" applyFill="1" applyBorder="1" applyAlignment="1">
      <alignment horizontal="left" vertical="center"/>
    </xf>
    <xf numFmtId="0" fontId="46" fillId="0" borderId="0" xfId="0" applyFont="1" applyAlignment="1">
      <alignment horizontal="left"/>
    </xf>
    <xf numFmtId="175" fontId="72" fillId="25" borderId="0" xfId="0" applyNumberFormat="1" applyFont="1" applyFill="1" applyAlignment="1">
      <alignment horizontal="center"/>
    </xf>
    <xf numFmtId="0" fontId="87" fillId="0" borderId="0" xfId="0" applyFont="1" applyAlignment="1">
      <alignment horizontal="right"/>
    </xf>
    <xf numFmtId="175" fontId="0" fillId="0" borderId="0" xfId="0" applyNumberFormat="1" applyAlignment="1">
      <alignment horizontal="left" vertical="center"/>
    </xf>
    <xf numFmtId="175" fontId="62" fillId="0" borderId="0" xfId="0" applyNumberFormat="1" applyFont="1" applyAlignment="1">
      <alignment horizontal="left"/>
    </xf>
    <xf numFmtId="175" fontId="0" fillId="0" borderId="0" xfId="0" applyNumberFormat="1" applyAlignment="1">
      <alignment horizontal="left"/>
    </xf>
    <xf numFmtId="175" fontId="63" fillId="31" borderId="0" xfId="0" applyNumberFormat="1" applyFont="1" applyFill="1"/>
    <xf numFmtId="175" fontId="0" fillId="31" borderId="0" xfId="0" applyNumberFormat="1" applyFill="1" applyAlignment="1">
      <alignment horizontal="right"/>
    </xf>
    <xf numFmtId="175" fontId="0" fillId="31" borderId="0" xfId="0" applyNumberFormat="1" applyFill="1"/>
    <xf numFmtId="175" fontId="0" fillId="31" borderId="0" xfId="0" applyNumberFormat="1" applyFill="1" applyAlignment="1">
      <alignment vertical="center"/>
    </xf>
    <xf numFmtId="175" fontId="63" fillId="25" borderId="79" xfId="0" applyNumberFormat="1" applyFont="1" applyFill="1" applyBorder="1"/>
    <xf numFmtId="175" fontId="63" fillId="0" borderId="79" xfId="0" applyNumberFormat="1" applyFont="1" applyBorder="1"/>
    <xf numFmtId="0" fontId="50" fillId="50" borderId="0" xfId="0" applyFont="1" applyFill="1" applyAlignment="1">
      <alignment horizontal="left" vertical="center" wrapText="1"/>
    </xf>
    <xf numFmtId="0" fontId="76" fillId="25" borderId="0" xfId="0" applyFont="1" applyFill="1" applyAlignment="1">
      <alignment horizontal="right" vertical="center"/>
    </xf>
    <xf numFmtId="4" fontId="76" fillId="25" borderId="0" xfId="0" applyNumberFormat="1" applyFont="1" applyFill="1" applyAlignment="1">
      <alignment horizontal="right" vertical="center"/>
    </xf>
    <xf numFmtId="0" fontId="84" fillId="25" borderId="0" xfId="0" applyFont="1" applyFill="1" applyAlignment="1">
      <alignment horizontal="right" vertical="center"/>
    </xf>
    <xf numFmtId="4" fontId="84" fillId="25" borderId="0" xfId="0" applyNumberFormat="1" applyFont="1" applyFill="1" applyAlignment="1">
      <alignment horizontal="right" vertical="center"/>
    </xf>
    <xf numFmtId="167" fontId="73" fillId="0" borderId="0" xfId="0" applyNumberFormat="1" applyFont="1"/>
    <xf numFmtId="0" fontId="4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87" fillId="0" borderId="0" xfId="0" applyFont="1" applyAlignment="1">
      <alignment horizontal="left" vertical="center" wrapText="1"/>
    </xf>
    <xf numFmtId="0" fontId="103" fillId="37" borderId="0" xfId="0" applyFont="1" applyFill="1"/>
    <xf numFmtId="0" fontId="104" fillId="37" borderId="0" xfId="0" applyFont="1" applyFill="1" applyAlignment="1">
      <alignment vertical="center"/>
    </xf>
    <xf numFmtId="0" fontId="55" fillId="0" borderId="0" xfId="0" applyFont="1" applyAlignment="1">
      <alignment vertical="center" wrapText="1"/>
    </xf>
    <xf numFmtId="0" fontId="46" fillId="27" borderId="0" xfId="0" applyFont="1" applyFill="1"/>
    <xf numFmtId="0" fontId="49" fillId="51" borderId="0" xfId="0" applyFont="1" applyFill="1" applyAlignment="1">
      <alignment horizontal="center" vertical="center" wrapText="1"/>
    </xf>
    <xf numFmtId="0" fontId="0" fillId="51" borderId="0" xfId="0" applyFill="1"/>
    <xf numFmtId="0" fontId="49" fillId="51" borderId="0" xfId="0" applyFont="1" applyFill="1" applyAlignment="1">
      <alignment horizontal="left" vertical="center"/>
    </xf>
    <xf numFmtId="0" fontId="111" fillId="0" borderId="0" xfId="0" applyFont="1" applyAlignment="1">
      <alignment vertical="center"/>
    </xf>
    <xf numFmtId="0" fontId="105" fillId="25" borderId="80" xfId="0" applyFont="1" applyFill="1" applyBorder="1" applyAlignment="1">
      <alignment vertical="center" wrapText="1"/>
    </xf>
    <xf numFmtId="0" fontId="105" fillId="25" borderId="89" xfId="0" applyFont="1" applyFill="1" applyBorder="1" applyAlignment="1">
      <alignment vertical="center"/>
    </xf>
    <xf numFmtId="0" fontId="0" fillId="25" borderId="90" xfId="0" applyFill="1" applyBorder="1"/>
    <xf numFmtId="0" fontId="109" fillId="25" borderId="81" xfId="0" applyFont="1" applyFill="1" applyBorder="1" applyAlignment="1">
      <alignment horizontal="left" vertical="center" wrapText="1"/>
    </xf>
    <xf numFmtId="0" fontId="105" fillId="25" borderId="83" xfId="0" applyFont="1" applyFill="1" applyBorder="1" applyAlignment="1">
      <alignment vertical="center" wrapText="1"/>
    </xf>
    <xf numFmtId="0" fontId="105" fillId="25" borderId="91" xfId="0" applyFont="1" applyFill="1" applyBorder="1" applyAlignment="1">
      <alignment vertical="center"/>
    </xf>
    <xf numFmtId="0" fontId="0" fillId="25" borderId="92" xfId="0" applyFill="1" applyBorder="1"/>
    <xf numFmtId="0" fontId="109" fillId="25" borderId="84" xfId="0" applyFont="1" applyFill="1" applyBorder="1" applyAlignment="1">
      <alignment horizontal="left" vertical="center" wrapText="1"/>
    </xf>
    <xf numFmtId="0" fontId="110" fillId="25" borderId="84" xfId="5" applyFont="1" applyFill="1" applyBorder="1" applyAlignment="1">
      <alignment horizontal="left" vertical="center" wrapText="1"/>
    </xf>
    <xf numFmtId="0" fontId="105" fillId="52" borderId="83" xfId="0" applyFont="1" applyFill="1" applyBorder="1" applyAlignment="1">
      <alignment vertical="center" wrapText="1"/>
    </xf>
    <xf numFmtId="0" fontId="105" fillId="52" borderId="91" xfId="0" applyFont="1" applyFill="1" applyBorder="1" applyAlignment="1">
      <alignment vertical="center"/>
    </xf>
    <xf numFmtId="0" fontId="0" fillId="52" borderId="92" xfId="0" applyFill="1" applyBorder="1"/>
    <xf numFmtId="0" fontId="109" fillId="52" borderId="84" xfId="0" applyFont="1" applyFill="1" applyBorder="1" applyAlignment="1">
      <alignment horizontal="left" vertical="center" wrapText="1"/>
    </xf>
    <xf numFmtId="0" fontId="105" fillId="36" borderId="83" xfId="0" applyFont="1" applyFill="1" applyBorder="1" applyAlignment="1">
      <alignment vertical="center" wrapText="1"/>
    </xf>
    <xf numFmtId="0" fontId="105" fillId="36" borderId="91" xfId="0" applyFont="1" applyFill="1" applyBorder="1" applyAlignment="1">
      <alignment vertical="center"/>
    </xf>
    <xf numFmtId="0" fontId="0" fillId="36" borderId="92" xfId="0" applyFill="1" applyBorder="1"/>
    <xf numFmtId="0" fontId="110" fillId="36" borderId="84" xfId="5" applyFont="1" applyFill="1" applyBorder="1" applyAlignment="1">
      <alignment horizontal="left" vertical="center" wrapText="1"/>
    </xf>
    <xf numFmtId="0" fontId="105" fillId="53" borderId="83" xfId="0" applyFont="1" applyFill="1" applyBorder="1" applyAlignment="1">
      <alignment vertical="center" wrapText="1"/>
    </xf>
    <xf numFmtId="0" fontId="105" fillId="53" borderId="91" xfId="0" applyFont="1" applyFill="1" applyBorder="1" applyAlignment="1">
      <alignment vertical="center"/>
    </xf>
    <xf numFmtId="0" fontId="0" fillId="53" borderId="92" xfId="0" applyFill="1" applyBorder="1"/>
    <xf numFmtId="0" fontId="110" fillId="53" borderId="84" xfId="5" applyFont="1" applyFill="1" applyBorder="1" applyAlignment="1">
      <alignment horizontal="left" vertical="center" wrapText="1"/>
    </xf>
    <xf numFmtId="0" fontId="110" fillId="52" borderId="84" xfId="5" applyFont="1" applyFill="1" applyBorder="1" applyAlignment="1">
      <alignment horizontal="left" vertical="center" wrapText="1"/>
    </xf>
    <xf numFmtId="0" fontId="105" fillId="39" borderId="83" xfId="0" applyFont="1" applyFill="1" applyBorder="1" applyAlignment="1">
      <alignment vertical="center" wrapText="1"/>
    </xf>
    <xf numFmtId="0" fontId="105" fillId="39" borderId="91" xfId="0" applyFont="1" applyFill="1" applyBorder="1" applyAlignment="1">
      <alignment vertical="center"/>
    </xf>
    <xf numFmtId="0" fontId="0" fillId="39" borderId="92" xfId="0" applyFill="1" applyBorder="1"/>
    <xf numFmtId="0" fontId="110" fillId="39" borderId="84" xfId="5" applyFont="1" applyFill="1" applyBorder="1" applyAlignment="1">
      <alignment horizontal="left" vertical="center" wrapText="1"/>
    </xf>
    <xf numFmtId="0" fontId="105" fillId="39" borderId="86" xfId="0" applyFont="1" applyFill="1" applyBorder="1" applyAlignment="1">
      <alignment vertical="center" wrapText="1"/>
    </xf>
    <xf numFmtId="0" fontId="105" fillId="39" borderId="93" xfId="0" applyFont="1" applyFill="1" applyBorder="1" applyAlignment="1">
      <alignment vertical="center"/>
    </xf>
    <xf numFmtId="0" fontId="0" fillId="39" borderId="94" xfId="0" applyFill="1" applyBorder="1"/>
    <xf numFmtId="0" fontId="110" fillId="39" borderId="87" xfId="5" applyFont="1" applyFill="1" applyBorder="1" applyAlignment="1">
      <alignment horizontal="left" vertical="center" wrapText="1"/>
    </xf>
    <xf numFmtId="0" fontId="89" fillId="25" borderId="85" xfId="0" applyFont="1" applyFill="1" applyBorder="1" applyAlignment="1">
      <alignment vertical="center" wrapText="1"/>
    </xf>
    <xf numFmtId="0" fontId="89" fillId="52" borderId="85" xfId="0" applyFont="1" applyFill="1" applyBorder="1" applyAlignment="1">
      <alignment vertical="center" wrapText="1"/>
    </xf>
    <xf numFmtId="0" fontId="89" fillId="36" borderId="85" xfId="0" applyFont="1" applyFill="1" applyBorder="1" applyAlignment="1">
      <alignment vertical="center" wrapText="1"/>
    </xf>
    <xf numFmtId="0" fontId="89" fillId="53" borderId="85" xfId="0" applyFont="1" applyFill="1" applyBorder="1" applyAlignment="1">
      <alignment vertical="center" wrapText="1"/>
    </xf>
    <xf numFmtId="0" fontId="89" fillId="39" borderId="85" xfId="0" applyFont="1" applyFill="1" applyBorder="1" applyAlignment="1">
      <alignment vertical="center" wrapText="1"/>
    </xf>
    <xf numFmtId="0" fontId="89" fillId="39" borderId="88" xfId="0" applyFont="1" applyFill="1" applyBorder="1" applyAlignment="1">
      <alignment vertical="center" wrapText="1"/>
    </xf>
    <xf numFmtId="0" fontId="108" fillId="25" borderId="82" xfId="0" applyFont="1" applyFill="1" applyBorder="1" applyAlignment="1">
      <alignment vertical="center" wrapText="1"/>
    </xf>
    <xf numFmtId="0" fontId="106" fillId="36" borderId="91" xfId="0" applyFont="1" applyFill="1" applyBorder="1" applyAlignment="1">
      <alignment vertical="center"/>
    </xf>
    <xf numFmtId="0" fontId="106" fillId="53" borderId="91" xfId="0" applyFont="1" applyFill="1" applyBorder="1" applyAlignment="1">
      <alignment vertical="center"/>
    </xf>
    <xf numFmtId="0" fontId="106" fillId="52" borderId="91" xfId="0" applyFont="1" applyFill="1" applyBorder="1" applyAlignment="1">
      <alignment vertical="center"/>
    </xf>
    <xf numFmtId="0" fontId="112" fillId="0" borderId="0" xfId="0" applyFont="1"/>
    <xf numFmtId="0" fontId="113" fillId="0" borderId="0" xfId="0" applyFont="1" applyAlignment="1">
      <alignment vertical="center" wrapText="1"/>
    </xf>
    <xf numFmtId="176" fontId="114" fillId="0" borderId="0" xfId="0" applyNumberFormat="1" applyFont="1" applyAlignment="1">
      <alignment vertical="center" wrapText="1"/>
    </xf>
    <xf numFmtId="176" fontId="114" fillId="0" borderId="0" xfId="0" applyNumberFormat="1" applyFont="1" applyAlignment="1">
      <alignment horizontal="right" vertical="center" wrapText="1"/>
    </xf>
    <xf numFmtId="4" fontId="114" fillId="0" borderId="0" xfId="0" applyNumberFormat="1" applyFont="1" applyAlignment="1">
      <alignment vertical="center" wrapText="1"/>
    </xf>
    <xf numFmtId="17" fontId="0" fillId="0" borderId="0" xfId="0" applyNumberFormat="1"/>
    <xf numFmtId="0" fontId="115" fillId="0" borderId="0" xfId="0" applyFont="1" applyAlignment="1">
      <alignment horizontal="left"/>
    </xf>
    <xf numFmtId="0" fontId="72" fillId="25" borderId="0" xfId="0" applyFont="1" applyFill="1" applyAlignment="1">
      <alignment horizontal="left"/>
    </xf>
    <xf numFmtId="0" fontId="72" fillId="25" borderId="0" xfId="0" applyFont="1" applyFill="1" applyAlignment="1">
      <alignment horizontal="left" wrapText="1"/>
    </xf>
    <xf numFmtId="0" fontId="115" fillId="25" borderId="0" xfId="0" applyFont="1" applyFill="1" applyAlignment="1">
      <alignment horizontal="left" wrapText="1"/>
    </xf>
    <xf numFmtId="0" fontId="116" fillId="25" borderId="0" xfId="0" applyFont="1" applyFill="1" applyAlignment="1">
      <alignment horizontal="center" wrapText="1"/>
    </xf>
    <xf numFmtId="176" fontId="118" fillId="0" borderId="0" xfId="0" applyNumberFormat="1" applyFont="1" applyAlignment="1">
      <alignment vertical="center" wrapText="1"/>
    </xf>
    <xf numFmtId="0" fontId="113" fillId="0" borderId="0" xfId="0" applyFont="1" applyAlignment="1">
      <alignment horizontal="center" vertical="center" wrapText="1"/>
    </xf>
    <xf numFmtId="0" fontId="0" fillId="53" borderId="0" xfId="0" applyFill="1"/>
    <xf numFmtId="0" fontId="73" fillId="0" borderId="0" xfId="0" applyFont="1" applyAlignment="1">
      <alignment vertical="center"/>
    </xf>
    <xf numFmtId="0" fontId="0" fillId="0" borderId="95" xfId="0" applyBorder="1"/>
    <xf numFmtId="0" fontId="0" fillId="0" borderId="95" xfId="0" applyBorder="1" applyAlignment="1">
      <alignment horizontal="right"/>
    </xf>
    <xf numFmtId="176" fontId="0" fillId="0" borderId="0" xfId="0" applyNumberFormat="1"/>
    <xf numFmtId="0" fontId="46" fillId="0" borderId="0" xfId="0" applyFont="1" applyAlignment="1">
      <alignment horizontal="center" vertical="center"/>
    </xf>
    <xf numFmtId="0" fontId="116" fillId="4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114" fillId="0" borderId="97" xfId="0" applyNumberFormat="1" applyFont="1" applyBorder="1" applyAlignment="1">
      <alignment horizontal="right" vertical="center" wrapText="1"/>
    </xf>
    <xf numFmtId="0" fontId="0" fillId="0" borderId="99" xfId="0" applyBorder="1"/>
    <xf numFmtId="4" fontId="114" fillId="0" borderId="17" xfId="0" applyNumberFormat="1" applyFont="1" applyBorder="1" applyAlignment="1">
      <alignment vertical="center" wrapText="1"/>
    </xf>
    <xf numFmtId="176" fontId="114" fillId="0" borderId="17" xfId="0" applyNumberFormat="1" applyFont="1" applyBorder="1" applyAlignment="1">
      <alignment horizontal="right" vertical="center" wrapText="1"/>
    </xf>
    <xf numFmtId="176" fontId="114" fillId="0" borderId="17" xfId="0" applyNumberFormat="1" applyFont="1" applyBorder="1" applyAlignment="1">
      <alignment vertical="center" wrapText="1"/>
    </xf>
    <xf numFmtId="0" fontId="113" fillId="0" borderId="17" xfId="0" applyFont="1" applyBorder="1" applyAlignment="1">
      <alignment vertical="center" wrapText="1"/>
    </xf>
    <xf numFmtId="17" fontId="0" fillId="0" borderId="17" xfId="0" applyNumberFormat="1" applyBorder="1"/>
    <xf numFmtId="176" fontId="0" fillId="53" borderId="100" xfId="0" applyNumberFormat="1" applyFill="1" applyBorder="1"/>
    <xf numFmtId="0" fontId="0" fillId="0" borderId="17" xfId="0" applyBorder="1"/>
    <xf numFmtId="176" fontId="113" fillId="0" borderId="17" xfId="0" applyNumberFormat="1" applyFont="1" applyBorder="1" applyAlignment="1">
      <alignment vertical="center" wrapText="1"/>
    </xf>
    <xf numFmtId="0" fontId="0" fillId="0" borderId="23" xfId="0" applyBorder="1"/>
    <xf numFmtId="176" fontId="113" fillId="0" borderId="23" xfId="0" applyNumberFormat="1" applyFont="1" applyBorder="1" applyAlignment="1">
      <alignment vertical="center" wrapText="1"/>
    </xf>
    <xf numFmtId="0" fontId="113" fillId="0" borderId="23" xfId="0" applyFont="1" applyBorder="1" applyAlignment="1">
      <alignment vertical="center" wrapText="1"/>
    </xf>
    <xf numFmtId="17" fontId="0" fillId="0" borderId="23" xfId="0" applyNumberFormat="1" applyBorder="1"/>
    <xf numFmtId="176" fontId="0" fillId="53" borderId="102" xfId="0" applyNumberFormat="1" applyFill="1" applyBorder="1"/>
    <xf numFmtId="0" fontId="115" fillId="25" borderId="0" xfId="0" applyFont="1" applyFill="1" applyAlignment="1">
      <alignment horizontal="center" textRotation="90" wrapText="1"/>
    </xf>
    <xf numFmtId="0" fontId="3" fillId="0" borderId="79" xfId="1" applyBorder="1"/>
    <xf numFmtId="0" fontId="24" fillId="0" borderId="79" xfId="1" applyFont="1" applyBorder="1"/>
    <xf numFmtId="0" fontId="8" fillId="0" borderId="79" xfId="1" applyFont="1" applyBorder="1"/>
    <xf numFmtId="2" fontId="8" fillId="4" borderId="79" xfId="1" applyNumberFormat="1" applyFont="1" applyFill="1" applyBorder="1" applyAlignment="1">
      <alignment horizontal="left"/>
    </xf>
    <xf numFmtId="0" fontId="48" fillId="0" borderId="0" xfId="0" applyFont="1" applyAlignment="1">
      <alignment horizontal="center"/>
    </xf>
    <xf numFmtId="0" fontId="0" fillId="0" borderId="0" xfId="0" applyAlignment="1">
      <alignment horizontal="right" vertical="top"/>
    </xf>
    <xf numFmtId="0" fontId="49" fillId="0" borderId="0" xfId="0" applyFont="1" applyAlignment="1">
      <alignment horizontal="center" vertical="top"/>
    </xf>
    <xf numFmtId="0" fontId="72" fillId="25" borderId="0" xfId="0" applyFont="1" applyFill="1" applyAlignment="1">
      <alignment horizontal="center" vertical="center"/>
    </xf>
    <xf numFmtId="0" fontId="0" fillId="27" borderId="0" xfId="0" applyFill="1"/>
    <xf numFmtId="0" fontId="115" fillId="0" borderId="0" xfId="0" applyFont="1" applyAlignment="1">
      <alignment horizontal="center" vertical="center"/>
    </xf>
    <xf numFmtId="0" fontId="83" fillId="55" borderId="0" xfId="0" applyFont="1" applyFill="1" applyAlignment="1">
      <alignment horizontal="center" vertical="center"/>
    </xf>
    <xf numFmtId="0" fontId="83" fillId="56" borderId="0" xfId="0" applyFont="1" applyFill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54" borderId="98" xfId="0" applyFill="1" applyBorder="1"/>
    <xf numFmtId="0" fontId="0" fillId="54" borderId="102" xfId="0" applyFill="1" applyBorder="1"/>
    <xf numFmtId="0" fontId="53" fillId="25" borderId="0" xfId="0" applyFont="1" applyFill="1"/>
    <xf numFmtId="0" fontId="119" fillId="0" borderId="0" xfId="0" applyFont="1" applyAlignment="1">
      <alignment horizontal="left" vertical="center"/>
    </xf>
    <xf numFmtId="0" fontId="117" fillId="25" borderId="0" xfId="0" applyFont="1" applyFill="1" applyAlignment="1">
      <alignment horizontal="center" wrapText="1"/>
    </xf>
    <xf numFmtId="0" fontId="73" fillId="0" borderId="17" xfId="0" applyFont="1" applyBorder="1"/>
    <xf numFmtId="0" fontId="73" fillId="0" borderId="95" xfId="0" applyFont="1" applyBorder="1"/>
    <xf numFmtId="0" fontId="7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72" fillId="0" borderId="103" xfId="0" applyFont="1" applyBorder="1"/>
    <xf numFmtId="0" fontId="116" fillId="0" borderId="103" xfId="0" applyFont="1" applyBorder="1" applyAlignment="1">
      <alignment horizontal="left"/>
    </xf>
    <xf numFmtId="0" fontId="120" fillId="0" borderId="103" xfId="0" applyFont="1" applyBorder="1"/>
    <xf numFmtId="4" fontId="120" fillId="0" borderId="103" xfId="0" applyNumberFormat="1" applyFont="1" applyBorder="1" applyAlignment="1">
      <alignment horizontal="left"/>
    </xf>
    <xf numFmtId="0" fontId="121" fillId="0" borderId="103" xfId="0" applyFont="1" applyBorder="1"/>
    <xf numFmtId="4" fontId="121" fillId="0" borderId="103" xfId="0" applyNumberFormat="1" applyFont="1" applyBorder="1" applyAlignment="1">
      <alignment horizontal="left"/>
    </xf>
    <xf numFmtId="0" fontId="53" fillId="25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2" fillId="25" borderId="0" xfId="0" applyFont="1" applyFill="1" applyAlignment="1">
      <alignment horizontal="left" vertical="center" wrapText="1"/>
    </xf>
    <xf numFmtId="0" fontId="0" fillId="0" borderId="17" xfId="0" applyBorder="1" applyAlignment="1">
      <alignment vertical="center" wrapText="1"/>
    </xf>
    <xf numFmtId="0" fontId="0" fillId="0" borderId="95" xfId="0" applyBorder="1" applyAlignment="1">
      <alignment vertical="center" wrapText="1"/>
    </xf>
    <xf numFmtId="0" fontId="7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7" fontId="0" fillId="0" borderId="17" xfId="0" applyNumberFormat="1" applyBorder="1" applyAlignment="1">
      <alignment vertical="center"/>
    </xf>
    <xf numFmtId="176" fontId="0" fillId="53" borderId="100" xfId="0" applyNumberFormat="1" applyFill="1" applyBorder="1" applyAlignment="1">
      <alignment vertical="center"/>
    </xf>
    <xf numFmtId="177" fontId="0" fillId="0" borderId="0" xfId="0" applyNumberFormat="1"/>
    <xf numFmtId="0" fontId="105" fillId="36" borderId="91" xfId="0" applyFont="1" applyFill="1" applyBorder="1" applyAlignment="1">
      <alignment horizontal="left" vertical="center"/>
    </xf>
    <xf numFmtId="0" fontId="0" fillId="36" borderId="0" xfId="0" applyFill="1"/>
    <xf numFmtId="0" fontId="122" fillId="0" borderId="0" xfId="5" applyFont="1"/>
    <xf numFmtId="0" fontId="0" fillId="0" borderId="0" xfId="0" applyAlignment="1">
      <alignment horizontal="right" vertical="center"/>
    </xf>
    <xf numFmtId="0" fontId="61" fillId="0" borderId="99" xfId="0" applyFont="1" applyBorder="1" applyAlignment="1">
      <alignment horizontal="left" vertical="center"/>
    </xf>
    <xf numFmtId="0" fontId="0" fillId="36" borderId="17" xfId="0" applyFill="1" applyBorder="1" applyAlignment="1">
      <alignment vertical="center" wrapText="1"/>
    </xf>
    <xf numFmtId="178" fontId="123" fillId="36" borderId="97" xfId="0" applyNumberFormat="1" applyFont="1" applyFill="1" applyBorder="1" applyAlignment="1">
      <alignment horizontal="left" vertical="center" wrapText="1"/>
    </xf>
    <xf numFmtId="0" fontId="73" fillId="36" borderId="17" xfId="0" applyFont="1" applyFill="1" applyBorder="1"/>
    <xf numFmtId="4" fontId="114" fillId="36" borderId="17" xfId="0" applyNumberFormat="1" applyFont="1" applyFill="1" applyBorder="1" applyAlignment="1">
      <alignment vertical="center" wrapText="1"/>
    </xf>
    <xf numFmtId="178" fontId="123" fillId="36" borderId="97" xfId="0" applyNumberFormat="1" applyFont="1" applyFill="1" applyBorder="1" applyAlignment="1">
      <alignment vertical="center" wrapText="1"/>
    </xf>
    <xf numFmtId="0" fontId="73" fillId="36" borderId="17" xfId="0" applyFont="1" applyFill="1" applyBorder="1" applyAlignment="1">
      <alignment vertical="center"/>
    </xf>
    <xf numFmtId="178" fontId="123" fillId="36" borderId="97" xfId="0" applyNumberFormat="1" applyFont="1" applyFill="1" applyBorder="1" applyAlignment="1">
      <alignment horizontal="left" vertical="center"/>
    </xf>
    <xf numFmtId="0" fontId="73" fillId="36" borderId="17" xfId="0" applyFont="1" applyFill="1" applyBorder="1" applyAlignment="1">
      <alignment vertical="center" wrapText="1"/>
    </xf>
    <xf numFmtId="176" fontId="114" fillId="36" borderId="17" xfId="0" applyNumberFormat="1" applyFont="1" applyFill="1" applyBorder="1" applyAlignment="1">
      <alignment vertical="center" wrapText="1"/>
    </xf>
    <xf numFmtId="176" fontId="114" fillId="36" borderId="23" xfId="0" applyNumberFormat="1" applyFont="1" applyFill="1" applyBorder="1" applyAlignment="1">
      <alignment vertical="center" wrapText="1"/>
    </xf>
    <xf numFmtId="0" fontId="0" fillId="36" borderId="23" xfId="0" applyFill="1" applyBorder="1" applyAlignment="1">
      <alignment vertical="center" wrapText="1"/>
    </xf>
    <xf numFmtId="0" fontId="73" fillId="36" borderId="23" xfId="0" applyFont="1" applyFill="1" applyBorder="1"/>
    <xf numFmtId="4" fontId="114" fillId="36" borderId="23" xfId="0" applyNumberFormat="1" applyFont="1" applyFill="1" applyBorder="1" applyAlignment="1">
      <alignment vertical="center" wrapText="1"/>
    </xf>
    <xf numFmtId="0" fontId="47" fillId="51" borderId="0" xfId="0" applyFont="1" applyFill="1" applyAlignment="1">
      <alignment horizontal="center" vertical="center" wrapText="1"/>
    </xf>
    <xf numFmtId="0" fontId="49" fillId="0" borderId="104" xfId="0" applyFont="1" applyBorder="1" applyAlignment="1">
      <alignment horizontal="center" vertical="center" wrapText="1"/>
    </xf>
    <xf numFmtId="0" fontId="0" fillId="0" borderId="104" xfId="0" applyBorder="1" applyAlignment="1">
      <alignment vertical="center"/>
    </xf>
    <xf numFmtId="0" fontId="0" fillId="0" borderId="104" xfId="0" applyBorder="1"/>
    <xf numFmtId="0" fontId="49" fillId="0" borderId="104" xfId="0" applyFont="1" applyBorder="1" applyAlignment="1">
      <alignment vertical="center" wrapText="1"/>
    </xf>
    <xf numFmtId="0" fontId="0" fillId="0" borderId="105" xfId="0" applyBorder="1"/>
    <xf numFmtId="0" fontId="125" fillId="0" borderId="0" xfId="0" applyFont="1" applyAlignment="1">
      <alignment vertical="center"/>
    </xf>
    <xf numFmtId="0" fontId="61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49" fillId="43" borderId="0" xfId="0" applyFont="1" applyFill="1" applyAlignment="1">
      <alignment horizontal="left"/>
    </xf>
    <xf numFmtId="0" fontId="11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76" fontId="94" fillId="0" borderId="0" xfId="0" applyNumberFormat="1" applyFont="1" applyAlignment="1">
      <alignment horizontal="center" vertical="center" shrinkToFit="1"/>
    </xf>
    <xf numFmtId="49" fontId="83" fillId="26" borderId="0" xfId="0" applyNumberFormat="1" applyFont="1" applyFill="1" applyAlignment="1">
      <alignment horizontal="left" vertical="center" wrapText="1" shrinkToFit="1"/>
    </xf>
    <xf numFmtId="49" fontId="83" fillId="26" borderId="0" xfId="0" applyNumberFormat="1" applyFont="1" applyFill="1" applyAlignment="1">
      <alignment horizontal="left" vertical="center" shrinkToFit="1"/>
    </xf>
    <xf numFmtId="49" fontId="83" fillId="26" borderId="0" xfId="0" applyNumberFormat="1" applyFont="1" applyFill="1" applyAlignment="1">
      <alignment horizontal="center" vertical="center" wrapText="1" shrinkToFit="1"/>
    </xf>
    <xf numFmtId="49" fontId="83" fillId="26" borderId="0" xfId="0" applyNumberFormat="1" applyFont="1" applyFill="1" applyAlignment="1">
      <alignment horizontal="center" vertical="center" shrinkToFit="1"/>
    </xf>
    <xf numFmtId="49" fontId="129" fillId="26" borderId="0" xfId="0" applyNumberFormat="1" applyFont="1" applyFill="1" applyAlignment="1">
      <alignment horizontal="left" vertical="center" wrapText="1" shrinkToFit="1"/>
    </xf>
    <xf numFmtId="49" fontId="130" fillId="26" borderId="0" xfId="0" applyNumberFormat="1" applyFont="1" applyFill="1" applyAlignment="1">
      <alignment horizontal="left" vertical="center" shrinkToFit="1"/>
    </xf>
    <xf numFmtId="0" fontId="127" fillId="0" borderId="107" xfId="0" applyFont="1" applyBorder="1" applyAlignment="1">
      <alignment horizontal="left" vertical="center" shrinkToFit="1"/>
    </xf>
    <xf numFmtId="0" fontId="128" fillId="0" borderId="108" xfId="0" applyFont="1" applyBorder="1" applyAlignment="1">
      <alignment vertical="center"/>
    </xf>
    <xf numFmtId="0" fontId="127" fillId="52" borderId="106" xfId="0" applyFont="1" applyFill="1" applyBorder="1" applyAlignment="1">
      <alignment horizontal="left" vertical="center" shrinkToFit="1"/>
    </xf>
    <xf numFmtId="0" fontId="127" fillId="52" borderId="107" xfId="0" applyFont="1" applyFill="1" applyBorder="1" applyAlignment="1">
      <alignment horizontal="left" vertical="center" shrinkToFit="1"/>
    </xf>
    <xf numFmtId="176" fontId="131" fillId="0" borderId="0" xfId="0" applyNumberFormat="1" applyFont="1" applyAlignment="1">
      <alignment horizontal="center" vertical="center" shrinkToFit="1"/>
    </xf>
    <xf numFmtId="1" fontId="46" fillId="0" borderId="0" xfId="0" applyNumberFormat="1" applyFont="1" applyAlignment="1">
      <alignment horizontal="center" vertical="center"/>
    </xf>
    <xf numFmtId="0" fontId="127" fillId="0" borderId="109" xfId="0" applyFont="1" applyBorder="1" applyAlignment="1">
      <alignment horizontal="left" vertical="center" shrinkToFit="1"/>
    </xf>
    <xf numFmtId="0" fontId="127" fillId="0" borderId="106" xfId="0" applyFont="1" applyBorder="1" applyAlignment="1">
      <alignment horizontal="left" vertical="center" shrinkToFit="1"/>
    </xf>
    <xf numFmtId="176" fontId="94" fillId="37" borderId="0" xfId="0" applyNumberFormat="1" applyFont="1" applyFill="1" applyAlignment="1">
      <alignment horizontal="center" vertical="center" shrinkToFit="1"/>
    </xf>
    <xf numFmtId="176" fontId="0" fillId="0" borderId="110" xfId="0" applyNumberFormat="1" applyBorder="1"/>
    <xf numFmtId="0" fontId="0" fillId="36" borderId="17" xfId="0" applyFill="1" applyBorder="1"/>
    <xf numFmtId="1" fontId="127" fillId="0" borderId="106" xfId="0" applyNumberFormat="1" applyFont="1" applyBorder="1" applyAlignment="1">
      <alignment horizontal="right" vertical="center" shrinkToFit="1"/>
    </xf>
    <xf numFmtId="176" fontId="127" fillId="31" borderId="106" xfId="0" applyNumberFormat="1" applyFont="1" applyFill="1" applyBorder="1" applyAlignment="1">
      <alignment horizontal="right" vertical="center" shrinkToFit="1"/>
    </xf>
    <xf numFmtId="176" fontId="127" fillId="0" borderId="106" xfId="0" applyNumberFormat="1" applyFont="1" applyBorder="1" applyAlignment="1">
      <alignment horizontal="right" vertical="center" shrinkToFit="1"/>
    </xf>
    <xf numFmtId="176" fontId="128" fillId="0" borderId="106" xfId="0" applyNumberFormat="1" applyFont="1" applyBorder="1" applyAlignment="1">
      <alignment horizontal="right" vertical="center" shrinkToFit="1"/>
    </xf>
    <xf numFmtId="1" fontId="127" fillId="0" borderId="107" xfId="0" applyNumberFormat="1" applyFont="1" applyBorder="1" applyAlignment="1">
      <alignment horizontal="right" vertical="center" shrinkToFit="1"/>
    </xf>
    <xf numFmtId="176" fontId="127" fillId="31" borderId="107" xfId="0" applyNumberFormat="1" applyFont="1" applyFill="1" applyBorder="1" applyAlignment="1">
      <alignment horizontal="right" vertical="center" shrinkToFit="1"/>
    </xf>
    <xf numFmtId="176" fontId="127" fillId="0" borderId="107" xfId="0" applyNumberFormat="1" applyFont="1" applyBorder="1" applyAlignment="1">
      <alignment horizontal="right" vertical="center" shrinkToFit="1"/>
    </xf>
    <xf numFmtId="176" fontId="128" fillId="0" borderId="107" xfId="0" applyNumberFormat="1" applyFont="1" applyBorder="1" applyAlignment="1">
      <alignment horizontal="right" vertical="center" shrinkToFit="1"/>
    </xf>
    <xf numFmtId="1" fontId="127" fillId="0" borderId="109" xfId="0" applyNumberFormat="1" applyFont="1" applyBorder="1" applyAlignment="1">
      <alignment horizontal="right" vertical="center" shrinkToFit="1"/>
    </xf>
    <xf numFmtId="176" fontId="127" fillId="31" borderId="109" xfId="0" applyNumberFormat="1" applyFont="1" applyFill="1" applyBorder="1" applyAlignment="1">
      <alignment horizontal="right" vertical="center" shrinkToFit="1"/>
    </xf>
    <xf numFmtId="176" fontId="127" fillId="0" borderId="109" xfId="0" applyNumberFormat="1" applyFont="1" applyBorder="1" applyAlignment="1">
      <alignment horizontal="right" vertical="center" shrinkToFit="1"/>
    </xf>
    <xf numFmtId="176" fontId="128" fillId="0" borderId="109" xfId="0" applyNumberFormat="1" applyFont="1" applyBorder="1" applyAlignment="1">
      <alignment horizontal="right" vertical="center" shrinkToFit="1"/>
    </xf>
    <xf numFmtId="0" fontId="127" fillId="31" borderId="107" xfId="0" applyFont="1" applyFill="1" applyBorder="1" applyAlignment="1">
      <alignment horizontal="right" vertical="center" shrinkToFit="1"/>
    </xf>
    <xf numFmtId="0" fontId="127" fillId="0" borderId="107" xfId="0" applyFont="1" applyBorder="1" applyAlignment="1">
      <alignment horizontal="right" vertical="center" shrinkToFit="1"/>
    </xf>
    <xf numFmtId="1" fontId="128" fillId="0" borderId="108" xfId="0" applyNumberFormat="1" applyFont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37" borderId="0" xfId="0" applyFill="1" applyAlignment="1">
      <alignment vertical="center"/>
    </xf>
    <xf numFmtId="0" fontId="127" fillId="27" borderId="107" xfId="0" applyFont="1" applyFill="1" applyBorder="1" applyAlignment="1">
      <alignment horizontal="left" vertical="center" shrinkToFit="1"/>
    </xf>
    <xf numFmtId="0" fontId="127" fillId="27" borderId="106" xfId="0" applyFont="1" applyFill="1" applyBorder="1" applyAlignment="1">
      <alignment horizontal="left" vertical="center" shrinkToFit="1"/>
    </xf>
    <xf numFmtId="14" fontId="127" fillId="0" borderId="106" xfId="0" applyNumberFormat="1" applyFont="1" applyBorder="1" applyAlignment="1">
      <alignment horizontal="left" vertical="center" shrinkToFit="1"/>
    </xf>
    <xf numFmtId="16" fontId="0" fillId="0" borderId="0" xfId="0" applyNumberFormat="1" applyAlignment="1">
      <alignment vertical="center"/>
    </xf>
    <xf numFmtId="1" fontId="49" fillId="0" borderId="0" xfId="0" applyNumberFormat="1" applyFont="1" applyAlignment="1">
      <alignment horizontal="center" vertical="center"/>
    </xf>
    <xf numFmtId="0" fontId="49" fillId="34" borderId="0" xfId="0" applyFont="1" applyFill="1" applyAlignment="1">
      <alignment horizontal="left" vertical="center"/>
    </xf>
    <xf numFmtId="0" fontId="73" fillId="0" borderId="0" xfId="0" applyFont="1" applyAlignment="1">
      <alignment horizontal="left"/>
    </xf>
    <xf numFmtId="0" fontId="0" fillId="0" borderId="0" xfId="0" applyAlignment="1">
      <alignment horizontal="left"/>
    </xf>
    <xf numFmtId="0" fontId="63" fillId="0" borderId="0" xfId="0" applyFont="1"/>
    <xf numFmtId="0" fontId="125" fillId="0" borderId="0" xfId="0" applyFont="1" applyAlignment="1">
      <alignment horizontal="left" vertical="center"/>
    </xf>
    <xf numFmtId="0" fontId="132" fillId="0" borderId="0" xfId="0" applyFont="1" applyAlignment="1">
      <alignment horizontal="center" vertical="center"/>
    </xf>
    <xf numFmtId="0" fontId="55" fillId="0" borderId="0" xfId="0" applyFont="1"/>
    <xf numFmtId="0" fontId="135" fillId="57" borderId="111" xfId="0" applyFont="1" applyFill="1" applyBorder="1" applyAlignment="1">
      <alignment horizontal="center" vertical="center" wrapText="1"/>
    </xf>
    <xf numFmtId="0" fontId="135" fillId="57" borderId="111" xfId="0" applyFont="1" applyFill="1" applyBorder="1" applyAlignment="1">
      <alignment horizontal="center" textRotation="90" wrapText="1"/>
    </xf>
    <xf numFmtId="0" fontId="135" fillId="57" borderId="111" xfId="0" applyFont="1" applyFill="1" applyBorder="1" applyAlignment="1">
      <alignment horizontal="center" wrapText="1"/>
    </xf>
    <xf numFmtId="0" fontId="55" fillId="0" borderId="0" xfId="0" applyFont="1" applyAlignment="1">
      <alignment horizontal="center" vertical="center"/>
    </xf>
    <xf numFmtId="0" fontId="134" fillId="0" borderId="112" xfId="0" applyFont="1" applyBorder="1"/>
    <xf numFmtId="49" fontId="133" fillId="0" borderId="112" xfId="0" applyNumberFormat="1" applyFont="1" applyBorder="1"/>
    <xf numFmtId="0" fontId="133" fillId="0" borderId="112" xfId="0" applyFont="1" applyBorder="1"/>
    <xf numFmtId="10" fontId="133" fillId="0" borderId="112" xfId="0" applyNumberFormat="1" applyFont="1" applyBorder="1"/>
    <xf numFmtId="9" fontId="133" fillId="0" borderId="112" xfId="0" applyNumberFormat="1" applyFont="1" applyBorder="1"/>
    <xf numFmtId="0" fontId="0" fillId="27" borderId="0" xfId="0" applyFill="1" applyAlignment="1">
      <alignment horizontal="center" vertical="center"/>
    </xf>
    <xf numFmtId="0" fontId="78" fillId="58" borderId="98" xfId="0" applyFont="1" applyFill="1" applyBorder="1"/>
    <xf numFmtId="175" fontId="0" fillId="31" borderId="0" xfId="0" applyNumberFormat="1" applyFill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75" fontId="53" fillId="0" borderId="62" xfId="0" applyNumberFormat="1" applyFont="1" applyBorder="1" applyAlignment="1">
      <alignment horizontal="center" vertical="center"/>
    </xf>
    <xf numFmtId="175" fontId="53" fillId="25" borderId="0" xfId="0" applyNumberFormat="1" applyFont="1" applyFill="1" applyAlignment="1">
      <alignment horizontal="center" vertical="center"/>
    </xf>
    <xf numFmtId="175" fontId="53" fillId="0" borderId="0" xfId="0" applyNumberFormat="1" applyFont="1" applyAlignment="1">
      <alignment horizontal="center" vertical="center"/>
    </xf>
    <xf numFmtId="17" fontId="0" fillId="34" borderId="0" xfId="0" applyNumberFormat="1" applyFill="1" applyAlignment="1">
      <alignment horizontal="right" vertical="center"/>
    </xf>
    <xf numFmtId="0" fontId="61" fillId="0" borderId="0" xfId="0" applyFont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136" fillId="0" borderId="0" xfId="4"/>
    <xf numFmtId="0" fontId="137" fillId="26" borderId="113" xfId="4" applyFont="1" applyFill="1" applyBorder="1" applyAlignment="1">
      <alignment vertical="center" wrapText="1"/>
    </xf>
    <xf numFmtId="0" fontId="137" fillId="26" borderId="113" xfId="4" applyFont="1" applyFill="1" applyBorder="1" applyAlignment="1">
      <alignment horizontal="center" textRotation="90" wrapText="1"/>
    </xf>
    <xf numFmtId="0" fontId="139" fillId="59" borderId="114" xfId="4" applyFont="1" applyFill="1" applyBorder="1" applyAlignment="1">
      <alignment vertical="center" wrapText="1"/>
    </xf>
    <xf numFmtId="179" fontId="139" fillId="59" borderId="114" xfId="4" applyNumberFormat="1" applyFont="1" applyFill="1" applyBorder="1" applyAlignment="1">
      <alignment vertical="center" wrapText="1"/>
    </xf>
    <xf numFmtId="0" fontId="138" fillId="59" borderId="114" xfId="4" applyFont="1" applyFill="1" applyBorder="1" applyAlignment="1">
      <alignment vertical="center" wrapText="1"/>
    </xf>
    <xf numFmtId="0" fontId="136" fillId="31" borderId="114" xfId="4" applyFill="1" applyBorder="1"/>
    <xf numFmtId="0" fontId="136" fillId="0" borderId="114" xfId="4" applyBorder="1"/>
    <xf numFmtId="0" fontId="140" fillId="59" borderId="115" xfId="4" applyFont="1" applyFill="1" applyBorder="1" applyAlignment="1">
      <alignment vertical="center" wrapText="1"/>
    </xf>
    <xf numFmtId="179" fontId="140" fillId="59" borderId="115" xfId="4" applyNumberFormat="1" applyFont="1" applyFill="1" applyBorder="1" applyAlignment="1">
      <alignment vertical="center" wrapText="1"/>
    </xf>
    <xf numFmtId="0" fontId="138" fillId="59" borderId="115" xfId="4" applyFont="1" applyFill="1" applyBorder="1" applyAlignment="1">
      <alignment vertical="center" wrapText="1"/>
    </xf>
    <xf numFmtId="0" fontId="136" fillId="31" borderId="115" xfId="4" applyFill="1" applyBorder="1"/>
    <xf numFmtId="0" fontId="136" fillId="0" borderId="115" xfId="4" applyBorder="1"/>
    <xf numFmtId="171" fontId="136" fillId="0" borderId="114" xfId="4" applyNumberFormat="1" applyBorder="1"/>
    <xf numFmtId="0" fontId="139" fillId="59" borderId="115" xfId="4" applyFont="1" applyFill="1" applyBorder="1" applyAlignment="1">
      <alignment vertical="center" wrapText="1"/>
    </xf>
    <xf numFmtId="0" fontId="141" fillId="59" borderId="115" xfId="4" applyFont="1" applyFill="1" applyBorder="1" applyAlignment="1">
      <alignment vertical="center" wrapText="1"/>
    </xf>
    <xf numFmtId="179" fontId="139" fillId="59" borderId="115" xfId="4" applyNumberFormat="1" applyFont="1" applyFill="1" applyBorder="1" applyAlignment="1">
      <alignment vertical="center" wrapText="1"/>
    </xf>
    <xf numFmtId="0" fontId="136" fillId="59" borderId="115" xfId="4" applyFill="1" applyBorder="1" applyAlignment="1">
      <alignment vertical="top" wrapText="1"/>
    </xf>
    <xf numFmtId="0" fontId="142" fillId="59" borderId="115" xfId="4" applyFont="1" applyFill="1" applyBorder="1" applyAlignment="1">
      <alignment vertical="center" wrapText="1"/>
    </xf>
    <xf numFmtId="179" fontId="142" fillId="59" borderId="115" xfId="4" applyNumberFormat="1" applyFont="1" applyFill="1" applyBorder="1" applyAlignment="1">
      <alignment vertical="center" wrapText="1"/>
    </xf>
    <xf numFmtId="0" fontId="143" fillId="31" borderId="115" xfId="4" applyFont="1" applyFill="1" applyBorder="1"/>
    <xf numFmtId="0" fontId="136" fillId="59" borderId="116" xfId="4" applyFill="1" applyBorder="1" applyAlignment="1">
      <alignment vertical="top" wrapText="1"/>
    </xf>
    <xf numFmtId="0" fontId="139" fillId="59" borderId="116" xfId="4" applyFont="1" applyFill="1" applyBorder="1" applyAlignment="1">
      <alignment vertical="center" wrapText="1"/>
    </xf>
    <xf numFmtId="179" fontId="136" fillId="59" borderId="116" xfId="4" applyNumberFormat="1" applyFill="1" applyBorder="1" applyAlignment="1">
      <alignment vertical="top" wrapText="1"/>
    </xf>
    <xf numFmtId="0" fontId="136" fillId="31" borderId="116" xfId="4" applyFill="1" applyBorder="1"/>
    <xf numFmtId="0" fontId="136" fillId="0" borderId="116" xfId="4" applyBorder="1"/>
    <xf numFmtId="0" fontId="144" fillId="0" borderId="0" xfId="4" applyFont="1"/>
    <xf numFmtId="171" fontId="144" fillId="27" borderId="0" xfId="4" applyNumberFormat="1" applyFont="1" applyFill="1"/>
    <xf numFmtId="0" fontId="136" fillId="0" borderId="0" xfId="4" applyAlignment="1">
      <alignment horizontal="center" vertical="center" textRotation="90"/>
    </xf>
    <xf numFmtId="0" fontId="136" fillId="0" borderId="0" xfId="4" applyAlignment="1">
      <alignment vertical="top"/>
    </xf>
    <xf numFmtId="0" fontId="124" fillId="52" borderId="99" xfId="0" applyFont="1" applyFill="1" applyBorder="1" applyAlignment="1">
      <alignment horizontal="left" vertical="center"/>
    </xf>
    <xf numFmtId="0" fontId="0" fillId="52" borderId="99" xfId="0" applyFill="1" applyBorder="1" applyAlignment="1">
      <alignment horizontal="center" vertical="center"/>
    </xf>
    <xf numFmtId="0" fontId="0" fillId="52" borderId="17" xfId="0" applyFill="1" applyBorder="1" applyAlignment="1">
      <alignment horizontal="center" vertical="center"/>
    </xf>
    <xf numFmtId="0" fontId="0" fillId="52" borderId="0" xfId="0" applyFill="1"/>
    <xf numFmtId="0" fontId="0" fillId="52" borderId="17" xfId="0" applyFill="1" applyBorder="1"/>
    <xf numFmtId="0" fontId="0" fillId="52" borderId="0" xfId="0" applyFill="1" applyAlignment="1">
      <alignment vertical="center"/>
    </xf>
    <xf numFmtId="0" fontId="0" fillId="52" borderId="17" xfId="0" applyFill="1" applyBorder="1" applyAlignment="1">
      <alignment vertical="center"/>
    </xf>
    <xf numFmtId="0" fontId="61" fillId="36" borderId="99" xfId="0" applyFont="1" applyFill="1" applyBorder="1" applyAlignment="1">
      <alignment horizontal="left" vertical="center"/>
    </xf>
    <xf numFmtId="0" fontId="0" fillId="36" borderId="96" xfId="0" applyFill="1" applyBorder="1" applyAlignment="1">
      <alignment horizontal="center" vertical="center"/>
    </xf>
    <xf numFmtId="0" fontId="0" fillId="36" borderId="97" xfId="0" applyFill="1" applyBorder="1" applyAlignment="1">
      <alignment horizontal="center" vertical="center"/>
    </xf>
    <xf numFmtId="0" fontId="0" fillId="36" borderId="97" xfId="0" applyFill="1" applyBorder="1"/>
    <xf numFmtId="0" fontId="0" fillId="36" borderId="99" xfId="0" applyFill="1" applyBorder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0" fontId="133" fillId="60" borderId="112" xfId="0" applyFont="1" applyFill="1" applyBorder="1"/>
    <xf numFmtId="49" fontId="133" fillId="60" borderId="112" xfId="0" applyNumberFormat="1" applyFont="1" applyFill="1" applyBorder="1"/>
    <xf numFmtId="10" fontId="133" fillId="60" borderId="112" xfId="0" applyNumberFormat="1" applyFont="1" applyFill="1" applyBorder="1"/>
    <xf numFmtId="0" fontId="133" fillId="61" borderId="112" xfId="0" applyFont="1" applyFill="1" applyBorder="1"/>
    <xf numFmtId="49" fontId="133" fillId="61" borderId="112" xfId="0" applyNumberFormat="1" applyFont="1" applyFill="1" applyBorder="1"/>
    <xf numFmtId="10" fontId="133" fillId="61" borderId="112" xfId="0" applyNumberFormat="1" applyFont="1" applyFill="1" applyBorder="1"/>
    <xf numFmtId="0" fontId="133" fillId="27" borderId="112" xfId="0" applyFont="1" applyFill="1" applyBorder="1"/>
    <xf numFmtId="49" fontId="133" fillId="27" borderId="112" xfId="0" applyNumberFormat="1" applyFont="1" applyFill="1" applyBorder="1"/>
    <xf numFmtId="10" fontId="133" fillId="27" borderId="112" xfId="0" applyNumberFormat="1" applyFont="1" applyFill="1" applyBorder="1"/>
    <xf numFmtId="0" fontId="134" fillId="27" borderId="112" xfId="0" applyFont="1" applyFill="1" applyBorder="1"/>
    <xf numFmtId="10" fontId="0" fillId="0" borderId="0" xfId="0" applyNumberFormat="1"/>
    <xf numFmtId="10" fontId="0" fillId="0" borderId="105" xfId="0" applyNumberFormat="1" applyBorder="1"/>
    <xf numFmtId="10" fontId="49" fillId="0" borderId="0" xfId="0" applyNumberFormat="1" applyFont="1"/>
    <xf numFmtId="0" fontId="146" fillId="36" borderId="17" xfId="0" applyFont="1" applyFill="1" applyBorder="1"/>
    <xf numFmtId="0" fontId="115" fillId="37" borderId="0" xfId="0" applyFont="1" applyFill="1" applyAlignment="1">
      <alignment horizontal="left" textRotation="90" wrapText="1"/>
    </xf>
    <xf numFmtId="0" fontId="147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center" vertical="center"/>
    </xf>
    <xf numFmtId="0" fontId="0" fillId="25" borderId="0" xfId="0" applyFill="1"/>
    <xf numFmtId="0" fontId="0" fillId="0" borderId="103" xfId="0" applyBorder="1"/>
    <xf numFmtId="0" fontId="49" fillId="36" borderId="96" xfId="0" applyFont="1" applyFill="1" applyBorder="1" applyAlignment="1">
      <alignment vertical="center"/>
    </xf>
    <xf numFmtId="0" fontId="148" fillId="36" borderId="96" xfId="0" applyFont="1" applyFill="1" applyBorder="1" applyAlignment="1">
      <alignment vertical="center"/>
    </xf>
    <xf numFmtId="0" fontId="73" fillId="36" borderId="17" xfId="0" applyFont="1" applyFill="1" applyBorder="1" applyAlignment="1">
      <alignment wrapText="1"/>
    </xf>
    <xf numFmtId="0" fontId="0" fillId="52" borderId="101" xfId="0" applyFill="1" applyBorder="1" applyAlignment="1">
      <alignment horizontal="center" vertical="center"/>
    </xf>
    <xf numFmtId="0" fontId="0" fillId="52" borderId="23" xfId="0" applyFill="1" applyBorder="1" applyAlignment="1">
      <alignment horizontal="center" vertical="center"/>
    </xf>
    <xf numFmtId="0" fontId="0" fillId="52" borderId="23" xfId="0" applyFill="1" applyBorder="1"/>
    <xf numFmtId="0" fontId="63" fillId="0" borderId="0" xfId="0" applyFont="1" applyAlignment="1">
      <alignment vertical="center"/>
    </xf>
    <xf numFmtId="0" fontId="49" fillId="0" borderId="117" xfId="0" applyFont="1" applyBorder="1"/>
    <xf numFmtId="175" fontId="72" fillId="0" borderId="118" xfId="0" applyNumberFormat="1" applyFont="1" applyBorder="1"/>
    <xf numFmtId="178" fontId="0" fillId="0" borderId="0" xfId="0" applyNumberFormat="1"/>
    <xf numFmtId="0" fontId="55" fillId="0" borderId="0" xfId="0" applyFont="1" applyAlignment="1">
      <alignment horizontal="center" vertical="center" textRotation="90"/>
    </xf>
    <xf numFmtId="0" fontId="149" fillId="0" borderId="0" xfId="0" applyFont="1" applyAlignment="1">
      <alignment horizontal="center" vertical="center"/>
    </xf>
    <xf numFmtId="0" fontId="150" fillId="0" borderId="0" xfId="5" applyFont="1"/>
    <xf numFmtId="0" fontId="151" fillId="31" borderId="113" xfId="4" applyFont="1" applyFill="1" applyBorder="1" applyAlignment="1">
      <alignment horizontal="center" textRotation="90" wrapText="1"/>
    </xf>
    <xf numFmtId="0" fontId="73" fillId="53" borderId="0" xfId="0" applyFont="1" applyFill="1" applyAlignment="1">
      <alignment vertical="center"/>
    </xf>
    <xf numFmtId="0" fontId="73" fillId="53" borderId="0" xfId="0" applyFont="1" applyFill="1"/>
    <xf numFmtId="176" fontId="112" fillId="0" borderId="0" xfId="0" applyNumberFormat="1" applyFont="1" applyAlignment="1">
      <alignment horizontal="right"/>
    </xf>
    <xf numFmtId="0" fontId="152" fillId="0" borderId="0" xfId="0" applyFont="1" applyAlignment="1">
      <alignment horizontal="right" vertical="center" wrapText="1"/>
    </xf>
    <xf numFmtId="0" fontId="127" fillId="62" borderId="107" xfId="0" applyFont="1" applyFill="1" applyBorder="1" applyAlignment="1">
      <alignment horizontal="left" vertical="center" shrinkToFit="1"/>
    </xf>
    <xf numFmtId="0" fontId="73" fillId="53" borderId="0" xfId="0" applyFont="1" applyFill="1" applyAlignment="1">
      <alignment horizontal="left" vertical="center"/>
    </xf>
    <xf numFmtId="0" fontId="61" fillId="36" borderId="0" xfId="0" applyFont="1" applyFill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36" borderId="105" xfId="0" applyFill="1" applyBorder="1" applyAlignment="1">
      <alignment horizontal="center" vertical="center"/>
    </xf>
    <xf numFmtId="0" fontId="153" fillId="0" borderId="0" xfId="0" applyFont="1" applyAlignment="1">
      <alignment horizontal="center" vertical="center"/>
    </xf>
    <xf numFmtId="175" fontId="55" fillId="0" borderId="0" xfId="0" applyNumberFormat="1" applyFont="1" applyAlignment="1">
      <alignment horizontal="left"/>
    </xf>
    <xf numFmtId="0" fontId="46" fillId="0" borderId="0" xfId="0" applyFont="1" applyAlignment="1">
      <alignment horizontal="center"/>
    </xf>
    <xf numFmtId="14" fontId="127" fillId="0" borderId="105" xfId="0" applyNumberFormat="1" applyFont="1" applyBorder="1" applyAlignment="1">
      <alignment horizontal="left" vertical="center" shrinkToFit="1"/>
    </xf>
    <xf numFmtId="0" fontId="127" fillId="52" borderId="105" xfId="0" applyFont="1" applyFill="1" applyBorder="1" applyAlignment="1">
      <alignment horizontal="left" vertical="center" shrinkToFit="1"/>
    </xf>
    <xf numFmtId="0" fontId="127" fillId="0" borderId="105" xfId="0" applyFont="1" applyBorder="1" applyAlignment="1">
      <alignment horizontal="left" vertical="center" shrinkToFit="1"/>
    </xf>
    <xf numFmtId="1" fontId="127" fillId="0" borderId="105" xfId="0" applyNumberFormat="1" applyFont="1" applyBorder="1" applyAlignment="1">
      <alignment horizontal="right" vertical="center" shrinkToFit="1"/>
    </xf>
    <xf numFmtId="176" fontId="127" fillId="31" borderId="105" xfId="0" applyNumberFormat="1" applyFont="1" applyFill="1" applyBorder="1" applyAlignment="1">
      <alignment horizontal="right" vertical="center" shrinkToFit="1"/>
    </xf>
    <xf numFmtId="176" fontId="127" fillId="0" borderId="105" xfId="0" applyNumberFormat="1" applyFont="1" applyBorder="1" applyAlignment="1">
      <alignment horizontal="right" vertical="center" shrinkToFit="1"/>
    </xf>
    <xf numFmtId="0" fontId="154" fillId="26" borderId="0" xfId="0" applyFont="1" applyFill="1" applyAlignment="1">
      <alignment horizontal="center" vertical="center"/>
    </xf>
    <xf numFmtId="176" fontId="0" fillId="56" borderId="100" xfId="0" applyNumberFormat="1" applyFill="1" applyBorder="1"/>
    <xf numFmtId="176" fontId="0" fillId="56" borderId="100" xfId="0" applyNumberFormat="1" applyFill="1" applyBorder="1" applyAlignment="1">
      <alignment vertical="center"/>
    </xf>
    <xf numFmtId="176" fontId="0" fillId="56" borderId="102" xfId="0" applyNumberFormat="1" applyFill="1" applyBorder="1"/>
    <xf numFmtId="0" fontId="0" fillId="25" borderId="0" xfId="0" applyFill="1" applyAlignment="1">
      <alignment horizontal="right"/>
    </xf>
    <xf numFmtId="0" fontId="0" fillId="25" borderId="0" xfId="0" applyFill="1" applyAlignment="1">
      <alignment horizontal="center" vertical="center"/>
    </xf>
    <xf numFmtId="176" fontId="72" fillId="0" borderId="0" xfId="0" applyNumberFormat="1" applyFont="1" applyAlignment="1">
      <alignment horizontal="center" vertical="top"/>
    </xf>
    <xf numFmtId="0" fontId="73" fillId="0" borderId="0" xfId="0" applyFont="1" applyAlignment="1">
      <alignment horizontal="right"/>
    </xf>
    <xf numFmtId="0" fontId="145" fillId="0" borderId="105" xfId="4" applyFont="1" applyBorder="1"/>
    <xf numFmtId="0" fontId="144" fillId="27" borderId="105" xfId="4" applyFont="1" applyFill="1" applyBorder="1"/>
    <xf numFmtId="17" fontId="0" fillId="34" borderId="105" xfId="0" applyNumberFormat="1" applyFill="1" applyBorder="1"/>
    <xf numFmtId="175" fontId="0" fillId="0" borderId="105" xfId="0" applyNumberFormat="1" applyBorder="1" applyAlignment="1">
      <alignment horizontal="left" vertical="center"/>
    </xf>
    <xf numFmtId="175" fontId="0" fillId="31" borderId="105" xfId="0" applyNumberFormat="1" applyFill="1" applyBorder="1" applyAlignment="1">
      <alignment horizontal="right"/>
    </xf>
    <xf numFmtId="175" fontId="62" fillId="0" borderId="105" xfId="0" applyNumberFormat="1" applyFont="1" applyBorder="1" applyAlignment="1">
      <alignment horizontal="left" vertical="center"/>
    </xf>
    <xf numFmtId="0" fontId="61" fillId="0" borderId="105" xfId="0" applyFont="1" applyBorder="1"/>
    <xf numFmtId="175" fontId="0" fillId="0" borderId="105" xfId="0" applyNumberFormat="1" applyBorder="1" applyAlignment="1">
      <alignment horizontal="left"/>
    </xf>
    <xf numFmtId="175" fontId="0" fillId="31" borderId="105" xfId="0" applyNumberFormat="1" applyFill="1" applyBorder="1"/>
    <xf numFmtId="17" fontId="0" fillId="34" borderId="105" xfId="0" applyNumberFormat="1" applyFill="1" applyBorder="1" applyAlignment="1">
      <alignment vertical="center"/>
    </xf>
    <xf numFmtId="175" fontId="0" fillId="31" borderId="105" xfId="0" applyNumberFormat="1" applyFill="1" applyBorder="1" applyAlignment="1">
      <alignment vertical="center"/>
    </xf>
    <xf numFmtId="0" fontId="0" fillId="0" borderId="105" xfId="0" applyBorder="1" applyAlignment="1">
      <alignment vertical="center"/>
    </xf>
    <xf numFmtId="175" fontId="155" fillId="0" borderId="0" xfId="0" applyNumberFormat="1" applyFont="1" applyAlignment="1">
      <alignment horizontal="center" vertical="center"/>
    </xf>
    <xf numFmtId="180" fontId="0" fillId="0" borderId="0" xfId="0" applyNumberFormat="1"/>
    <xf numFmtId="180" fontId="128" fillId="53" borderId="0" xfId="0" applyNumberFormat="1" applyFont="1" applyFill="1"/>
    <xf numFmtId="180" fontId="115" fillId="53" borderId="0" xfId="0" applyNumberFormat="1" applyFont="1" applyFill="1"/>
    <xf numFmtId="180" fontId="128" fillId="56" borderId="0" xfId="0" applyNumberFormat="1" applyFont="1" applyFill="1"/>
    <xf numFmtId="180" fontId="115" fillId="56" borderId="0" xfId="0" applyNumberFormat="1" applyFont="1" applyFill="1"/>
    <xf numFmtId="171" fontId="46" fillId="0" borderId="0" xfId="0" applyNumberFormat="1" applyFont="1"/>
    <xf numFmtId="180" fontId="0" fillId="0" borderId="0" xfId="0" applyNumberFormat="1" applyAlignment="1">
      <alignment horizontal="right"/>
    </xf>
    <xf numFmtId="0" fontId="112" fillId="0" borderId="0" xfId="0" applyFont="1" applyAlignment="1">
      <alignment vertical="center"/>
    </xf>
    <xf numFmtId="4" fontId="0" fillId="0" borderId="0" xfId="0" applyNumberFormat="1"/>
    <xf numFmtId="4" fontId="63" fillId="0" borderId="0" xfId="0" applyNumberFormat="1" applyFont="1"/>
    <xf numFmtId="8" fontId="0" fillId="0" borderId="0" xfId="0" applyNumberFormat="1"/>
    <xf numFmtId="0" fontId="49" fillId="0" borderId="0" xfId="0" applyFont="1" applyAlignment="1">
      <alignment horizontal="left"/>
    </xf>
    <xf numFmtId="0" fontId="156" fillId="63" borderId="9" xfId="0" applyFont="1" applyFill="1" applyBorder="1"/>
    <xf numFmtId="0" fontId="156" fillId="63" borderId="119" xfId="0" applyFont="1" applyFill="1" applyBorder="1"/>
    <xf numFmtId="0" fontId="55" fillId="28" borderId="120" xfId="0" applyFont="1" applyFill="1" applyBorder="1"/>
    <xf numFmtId="172" fontId="0" fillId="28" borderId="121" xfId="0" applyNumberFormat="1" applyFill="1" applyBorder="1"/>
    <xf numFmtId="172" fontId="55" fillId="28" borderId="122" xfId="0" applyNumberFormat="1" applyFont="1" applyFill="1" applyBorder="1"/>
    <xf numFmtId="164" fontId="9" fillId="10" borderId="4" xfId="0" applyNumberFormat="1" applyFont="1" applyFill="1" applyBorder="1"/>
    <xf numFmtId="181" fontId="73" fillId="25" borderId="0" xfId="0" applyNumberFormat="1" applyFont="1" applyFill="1"/>
    <xf numFmtId="176" fontId="127" fillId="0" borderId="105" xfId="0" quotePrefix="1" applyNumberFormat="1" applyFont="1" applyBorder="1" applyAlignment="1">
      <alignment horizontal="right" vertical="center" shrinkToFit="1"/>
    </xf>
    <xf numFmtId="168" fontId="50" fillId="0" borderId="104" xfId="0" applyNumberFormat="1" applyFont="1" applyBorder="1" applyAlignment="1">
      <alignment vertical="center"/>
    </xf>
    <xf numFmtId="0" fontId="157" fillId="0" borderId="0" xfId="0" applyFont="1" applyAlignment="1">
      <alignment horizontal="left" vertical="center" wrapText="1"/>
    </xf>
    <xf numFmtId="0" fontId="157" fillId="0" borderId="0" xfId="0" applyFont="1" applyAlignment="1">
      <alignment horizontal="center" vertical="center" wrapText="1"/>
    </xf>
    <xf numFmtId="4" fontId="0" fillId="0" borderId="0" xfId="0" applyNumberFormat="1" applyAlignment="1">
      <alignment horizontal="left"/>
    </xf>
    <xf numFmtId="2" fontId="0" fillId="52" borderId="0" xfId="0" applyNumberFormat="1" applyFill="1"/>
    <xf numFmtId="2" fontId="158" fillId="37" borderId="0" xfId="0" applyNumberFormat="1" applyFont="1" applyFill="1" applyAlignment="1">
      <alignment vertical="center"/>
    </xf>
    <xf numFmtId="2" fontId="0" fillId="0" borderId="0" xfId="0" applyNumberFormat="1" applyAlignment="1">
      <alignment vertical="center"/>
    </xf>
    <xf numFmtId="2" fontId="78" fillId="32" borderId="0" xfId="0" applyNumberFormat="1" applyFont="1" applyFill="1" applyAlignment="1">
      <alignment vertical="center"/>
    </xf>
    <xf numFmtId="2" fontId="79" fillId="32" borderId="0" xfId="0" applyNumberFormat="1" applyFont="1" applyFill="1" applyAlignment="1">
      <alignment vertical="center"/>
    </xf>
    <xf numFmtId="2" fontId="55" fillId="0" borderId="0" xfId="0" applyNumberFormat="1" applyFont="1" applyAlignment="1">
      <alignment vertical="center"/>
    </xf>
    <xf numFmtId="2" fontId="53" fillId="27" borderId="0" xfId="0" applyNumberFormat="1" applyFont="1" applyFill="1" applyAlignment="1">
      <alignment vertical="center"/>
    </xf>
    <xf numFmtId="2" fontId="0" fillId="33" borderId="0" xfId="0" applyNumberFormat="1" applyFill="1" applyAlignment="1">
      <alignment vertical="center"/>
    </xf>
    <xf numFmtId="2" fontId="0" fillId="34" borderId="0" xfId="0" applyNumberFormat="1" applyFill="1" applyAlignment="1">
      <alignment vertical="center"/>
    </xf>
    <xf numFmtId="2" fontId="0" fillId="31" borderId="0" xfId="0" applyNumberFormat="1" applyFill="1" applyAlignment="1">
      <alignment vertical="center"/>
    </xf>
    <xf numFmtId="2" fontId="0" fillId="35" borderId="0" xfId="0" applyNumberFormat="1" applyFill="1" applyAlignment="1">
      <alignment vertical="center"/>
    </xf>
    <xf numFmtId="2" fontId="78" fillId="26" borderId="0" xfId="0" applyNumberFormat="1" applyFont="1" applyFill="1" applyAlignment="1">
      <alignment vertical="center"/>
    </xf>
    <xf numFmtId="2" fontId="81" fillId="0" borderId="0" xfId="0" applyNumberFormat="1" applyFont="1" applyAlignment="1">
      <alignment vertical="center"/>
    </xf>
    <xf numFmtId="2" fontId="0" fillId="36" borderId="0" xfId="0" applyNumberFormat="1" applyFill="1" applyAlignment="1">
      <alignment vertical="center"/>
    </xf>
    <xf numFmtId="2" fontId="46" fillId="0" borderId="110" xfId="0" applyNumberFormat="1" applyFont="1" applyBorder="1" applyAlignment="1">
      <alignment vertical="center"/>
    </xf>
    <xf numFmtId="2" fontId="80" fillId="32" borderId="110" xfId="0" applyNumberFormat="1" applyFont="1" applyFill="1" applyBorder="1" applyAlignment="1">
      <alignment vertical="center"/>
    </xf>
    <xf numFmtId="2" fontId="0" fillId="0" borderId="110" xfId="0" applyNumberFormat="1" applyBorder="1" applyAlignment="1">
      <alignment vertical="center"/>
    </xf>
    <xf numFmtId="2" fontId="0" fillId="0" borderId="117" xfId="0" applyNumberFormat="1" applyBorder="1" applyAlignment="1">
      <alignment vertical="center"/>
    </xf>
    <xf numFmtId="2" fontId="46" fillId="33" borderId="110" xfId="0" applyNumberFormat="1" applyFont="1" applyFill="1" applyBorder="1" applyAlignment="1">
      <alignment vertical="center"/>
    </xf>
    <xf numFmtId="2" fontId="46" fillId="34" borderId="110" xfId="0" applyNumberFormat="1" applyFont="1" applyFill="1" applyBorder="1" applyAlignment="1">
      <alignment vertical="center"/>
    </xf>
    <xf numFmtId="2" fontId="46" fillId="31" borderId="110" xfId="0" applyNumberFormat="1" applyFont="1" applyFill="1" applyBorder="1" applyAlignment="1">
      <alignment vertical="center"/>
    </xf>
    <xf numFmtId="2" fontId="46" fillId="0" borderId="117" xfId="0" applyNumberFormat="1" applyFont="1" applyBorder="1" applyAlignment="1">
      <alignment vertical="center"/>
    </xf>
    <xf numFmtId="2" fontId="46" fillId="35" borderId="110" xfId="0" applyNumberFormat="1" applyFont="1" applyFill="1" applyBorder="1" applyAlignment="1">
      <alignment vertical="center"/>
    </xf>
    <xf numFmtId="2" fontId="80" fillId="26" borderId="110" xfId="0" applyNumberFormat="1" applyFont="1" applyFill="1" applyBorder="1" applyAlignment="1">
      <alignment vertical="center"/>
    </xf>
    <xf numFmtId="2" fontId="82" fillId="0" borderId="110" xfId="0" applyNumberFormat="1" applyFont="1" applyBorder="1" applyAlignment="1">
      <alignment vertical="center"/>
    </xf>
    <xf numFmtId="2" fontId="46" fillId="36" borderId="110" xfId="0" applyNumberFormat="1" applyFont="1" applyFill="1" applyBorder="1" applyAlignment="1">
      <alignment vertical="center"/>
    </xf>
    <xf numFmtId="2" fontId="159" fillId="37" borderId="110" xfId="0" applyNumberFormat="1" applyFont="1" applyFill="1" applyBorder="1" applyAlignment="1">
      <alignment vertical="center"/>
    </xf>
    <xf numFmtId="2" fontId="55" fillId="31" borderId="0" xfId="0" applyNumberFormat="1" applyFont="1" applyFill="1"/>
    <xf numFmtId="176" fontId="128" fillId="0" borderId="105" xfId="0" applyNumberFormat="1" applyFont="1" applyBorder="1" applyAlignment="1">
      <alignment horizontal="right" vertical="center" shrinkToFit="1"/>
    </xf>
    <xf numFmtId="0" fontId="127" fillId="0" borderId="106" xfId="0" quotePrefix="1" applyFont="1" applyBorder="1" applyAlignment="1">
      <alignment horizontal="left" vertical="center" shrinkToFit="1"/>
    </xf>
    <xf numFmtId="1" fontId="127" fillId="0" borderId="106" xfId="0" quotePrefix="1" applyNumberFormat="1" applyFont="1" applyBorder="1" applyAlignment="1">
      <alignment horizontal="right" vertical="center" shrinkToFit="1"/>
    </xf>
    <xf numFmtId="176" fontId="127" fillId="31" borderId="106" xfId="0" quotePrefix="1" applyNumberFormat="1" applyFont="1" applyFill="1" applyBorder="1" applyAlignment="1">
      <alignment horizontal="right" vertical="center" shrinkToFit="1"/>
    </xf>
    <xf numFmtId="176" fontId="127" fillId="0" borderId="106" xfId="0" quotePrefix="1" applyNumberFormat="1" applyFont="1" applyBorder="1" applyAlignment="1">
      <alignment horizontal="right" vertical="center" shrinkToFit="1"/>
    </xf>
    <xf numFmtId="0" fontId="160" fillId="0" borderId="0" xfId="0" applyFont="1" applyAlignment="1">
      <alignment horizontal="center" vertical="center"/>
    </xf>
    <xf numFmtId="0" fontId="1" fillId="0" borderId="0" xfId="4" applyFont="1"/>
    <xf numFmtId="164" fontId="0" fillId="0" borderId="49" xfId="0" applyNumberFormat="1" applyBorder="1"/>
    <xf numFmtId="0" fontId="0" fillId="40" borderId="0" xfId="0" applyFill="1"/>
    <xf numFmtId="0" fontId="0" fillId="40" borderId="0" xfId="0" applyFill="1" applyAlignment="1">
      <alignment vertical="center"/>
    </xf>
    <xf numFmtId="49" fontId="46" fillId="0" borderId="0" xfId="0" applyNumberFormat="1" applyFont="1"/>
    <xf numFmtId="176" fontId="87" fillId="0" borderId="105" xfId="0" applyNumberFormat="1" applyFont="1" applyBorder="1"/>
    <xf numFmtId="0" fontId="128" fillId="0" borderId="0" xfId="0" applyFont="1" applyAlignment="1">
      <alignment horizontal="right" vertical="center" wrapText="1"/>
    </xf>
    <xf numFmtId="0" fontId="0" fillId="0" borderId="102" xfId="0" applyBorder="1"/>
    <xf numFmtId="0" fontId="161" fillId="0" borderId="0" xfId="0" applyFont="1" applyAlignment="1">
      <alignment vertical="center"/>
    </xf>
    <xf numFmtId="10" fontId="73" fillId="0" borderId="0" xfId="0" applyNumberFormat="1" applyFont="1" applyAlignment="1">
      <alignment horizontal="center" vertical="center"/>
    </xf>
    <xf numFmtId="10" fontId="73" fillId="0" borderId="0" xfId="0" applyNumberFormat="1" applyFont="1"/>
    <xf numFmtId="0" fontId="99" fillId="0" borderId="123" xfId="0" applyFont="1" applyBorder="1"/>
    <xf numFmtId="0" fontId="99" fillId="0" borderId="124" xfId="0" applyFont="1" applyBorder="1" applyAlignment="1">
      <alignment horizontal="left" vertical="center"/>
    </xf>
    <xf numFmtId="10" fontId="99" fillId="0" borderId="124" xfId="0" applyNumberFormat="1" applyFont="1" applyBorder="1" applyAlignment="1">
      <alignment horizontal="center" vertical="center"/>
    </xf>
    <xf numFmtId="10" fontId="0" fillId="0" borderId="125" xfId="0" applyNumberFormat="1" applyBorder="1"/>
    <xf numFmtId="0" fontId="49" fillId="0" borderId="105" xfId="0" applyFont="1" applyBorder="1"/>
    <xf numFmtId="0" fontId="73" fillId="0" borderId="105" xfId="0" applyFont="1" applyBorder="1" applyAlignment="1">
      <alignment horizontal="left"/>
    </xf>
    <xf numFmtId="0" fontId="162" fillId="0" borderId="0" xfId="0" applyFont="1" applyAlignment="1">
      <alignment horizontal="center" vertical="center"/>
    </xf>
    <xf numFmtId="0" fontId="112" fillId="30" borderId="0" xfId="0" applyFont="1" applyFill="1"/>
    <xf numFmtId="0" fontId="0" fillId="36" borderId="103" xfId="0" applyFill="1" applyBorder="1"/>
    <xf numFmtId="0" fontId="49" fillId="36" borderId="0" xfId="0" applyFont="1" applyFill="1"/>
    <xf numFmtId="0" fontId="46" fillId="0" borderId="0" xfId="0" applyFont="1" applyAlignment="1">
      <alignment horizontal="right"/>
    </xf>
    <xf numFmtId="0" fontId="163" fillId="0" borderId="74" xfId="0" applyFont="1" applyBorder="1" applyAlignment="1">
      <alignment vertical="center"/>
    </xf>
    <xf numFmtId="17" fontId="0" fillId="34" borderId="126" xfId="0" applyNumberFormat="1" applyFill="1" applyBorder="1"/>
    <xf numFmtId="175" fontId="0" fillId="0" borderId="126" xfId="0" applyNumberFormat="1" applyBorder="1" applyAlignment="1">
      <alignment horizontal="left"/>
    </xf>
    <xf numFmtId="175" fontId="0" fillId="31" borderId="126" xfId="0" applyNumberFormat="1" applyFill="1" applyBorder="1"/>
    <xf numFmtId="0" fontId="0" fillId="0" borderId="126" xfId="0" applyBorder="1"/>
    <xf numFmtId="175" fontId="164" fillId="0" borderId="0" xfId="0" applyNumberFormat="1" applyFont="1" applyAlignment="1">
      <alignment horizontal="left"/>
    </xf>
    <xf numFmtId="0" fontId="0" fillId="0" borderId="105" xfId="0" applyBorder="1" applyAlignment="1">
      <alignment horizontal="center"/>
    </xf>
    <xf numFmtId="0" fontId="76" fillId="0" borderId="0" xfId="0" applyFont="1" applyAlignment="1">
      <alignment horizontal="left" vertical="center"/>
    </xf>
    <xf numFmtId="10" fontId="149" fillId="0" borderId="0" xfId="0" applyNumberFormat="1" applyFont="1"/>
    <xf numFmtId="176" fontId="53" fillId="43" borderId="0" xfId="0" applyNumberFormat="1" applyFont="1" applyFill="1" applyAlignment="1">
      <alignment horizontal="center" vertical="center"/>
    </xf>
    <xf numFmtId="0" fontId="0" fillId="50" borderId="0" xfId="0" applyFill="1"/>
    <xf numFmtId="0" fontId="0" fillId="50" borderId="0" xfId="0" applyFill="1" applyAlignment="1">
      <alignment vertical="center"/>
    </xf>
    <xf numFmtId="0" fontId="166" fillId="0" borderId="0" xfId="0" applyFont="1" applyAlignment="1">
      <alignment vertical="center"/>
    </xf>
    <xf numFmtId="0" fontId="167" fillId="0" borderId="0" xfId="0" applyFont="1"/>
    <xf numFmtId="4" fontId="168" fillId="0" borderId="0" xfId="0" applyNumberFormat="1" applyFont="1" applyAlignment="1">
      <alignment vertical="center" wrapText="1"/>
    </xf>
    <xf numFmtId="176" fontId="168" fillId="0" borderId="0" xfId="0" applyNumberFormat="1" applyFont="1" applyAlignment="1">
      <alignment horizontal="right" vertical="center" wrapText="1"/>
    </xf>
    <xf numFmtId="176" fontId="53" fillId="0" borderId="0" xfId="0" applyNumberFormat="1" applyFont="1" applyAlignment="1">
      <alignment horizontal="right"/>
    </xf>
    <xf numFmtId="164" fontId="0" fillId="4" borderId="126" xfId="0" applyNumberFormat="1" applyFill="1" applyBorder="1"/>
    <xf numFmtId="164" fontId="0" fillId="3" borderId="126" xfId="0" applyNumberFormat="1" applyFill="1" applyBorder="1"/>
    <xf numFmtId="182" fontId="0" fillId="0" borderId="0" xfId="0" applyNumberFormat="1"/>
    <xf numFmtId="167" fontId="0" fillId="0" borderId="0" xfId="0" applyNumberFormat="1"/>
    <xf numFmtId="0" fontId="53" fillId="0" borderId="0" xfId="0" applyFont="1" applyAlignment="1">
      <alignment horizontal="right" vertical="center"/>
    </xf>
    <xf numFmtId="175" fontId="169" fillId="31" borderId="105" xfId="0" applyNumberFormat="1" applyFont="1" applyFill="1" applyBorder="1"/>
    <xf numFmtId="164" fontId="10" fillId="10" borderId="4" xfId="0" applyNumberFormat="1" applyFont="1" applyFill="1" applyBorder="1"/>
    <xf numFmtId="175" fontId="169" fillId="31" borderId="0" xfId="0" applyNumberFormat="1" applyFont="1" applyFill="1"/>
    <xf numFmtId="0" fontId="0" fillId="0" borderId="96" xfId="0" applyBorder="1"/>
    <xf numFmtId="0" fontId="0" fillId="0" borderId="97" xfId="0" applyBorder="1"/>
    <xf numFmtId="0" fontId="0" fillId="25" borderId="0" xfId="0" applyFill="1" applyAlignment="1">
      <alignment horizontal="center"/>
    </xf>
    <xf numFmtId="0" fontId="0" fillId="40" borderId="0" xfId="0" applyFill="1" applyAlignment="1">
      <alignment horizontal="center" vertical="center"/>
    </xf>
    <xf numFmtId="0" fontId="171" fillId="0" borderId="0" xfId="0" applyFont="1" applyAlignment="1">
      <alignment horizontal="center" vertical="center"/>
    </xf>
    <xf numFmtId="0" fontId="49" fillId="31" borderId="0" xfId="0" applyFont="1" applyFill="1"/>
    <xf numFmtId="2" fontId="49" fillId="31" borderId="0" xfId="0" applyNumberFormat="1" applyFont="1" applyFill="1" applyAlignment="1">
      <alignment horizontal="center" vertical="center"/>
    </xf>
    <xf numFmtId="0" fontId="115" fillId="0" borderId="0" xfId="0" applyFont="1" applyAlignment="1">
      <alignment horizontal="right"/>
    </xf>
    <xf numFmtId="0" fontId="172" fillId="0" borderId="0" xfId="0" applyFont="1"/>
    <xf numFmtId="0" fontId="49" fillId="25" borderId="0" xfId="0" applyFont="1" applyFill="1" applyAlignment="1">
      <alignment horizontal="right"/>
    </xf>
    <xf numFmtId="0" fontId="73" fillId="0" borderId="0" xfId="0" applyFont="1" applyAlignment="1">
      <alignment horizontal="left" vertical="center"/>
    </xf>
    <xf numFmtId="0" fontId="0" fillId="36" borderId="98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36" borderId="129" xfId="0" applyFill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37" borderId="127" xfId="0" applyFill="1" applyBorder="1" applyAlignment="1">
      <alignment horizontal="center" vertical="center"/>
    </xf>
    <xf numFmtId="0" fontId="0" fillId="37" borderId="128" xfId="0" applyFill="1" applyBorder="1" applyAlignment="1">
      <alignment horizontal="center" vertical="center"/>
    </xf>
    <xf numFmtId="0" fontId="0" fillId="31" borderId="127" xfId="0" applyFill="1" applyBorder="1" applyAlignment="1">
      <alignment horizontal="center" vertical="center"/>
    </xf>
    <xf numFmtId="0" fontId="0" fillId="65" borderId="127" xfId="0" applyFill="1" applyBorder="1" applyAlignment="1">
      <alignment horizontal="center" vertical="center"/>
    </xf>
    <xf numFmtId="0" fontId="127" fillId="31" borderId="105" xfId="0" applyFont="1" applyFill="1" applyBorder="1" applyAlignment="1">
      <alignment horizontal="left" vertical="center" shrinkToFit="1"/>
    </xf>
    <xf numFmtId="0" fontId="127" fillId="0" borderId="105" xfId="0" quotePrefix="1" applyFont="1" applyBorder="1" applyAlignment="1">
      <alignment horizontal="left" vertical="center" shrinkToFit="1"/>
    </xf>
    <xf numFmtId="1" fontId="127" fillId="0" borderId="105" xfId="0" quotePrefix="1" applyNumberFormat="1" applyFont="1" applyBorder="1" applyAlignment="1">
      <alignment horizontal="right" vertical="center" shrinkToFit="1"/>
    </xf>
    <xf numFmtId="176" fontId="127" fillId="31" borderId="105" xfId="0" quotePrefix="1" applyNumberFormat="1" applyFont="1" applyFill="1" applyBorder="1" applyAlignment="1">
      <alignment horizontal="right" vertical="center" shrinkToFit="1"/>
    </xf>
    <xf numFmtId="0" fontId="127" fillId="31" borderId="106" xfId="0" applyFont="1" applyFill="1" applyBorder="1" applyAlignment="1">
      <alignment horizontal="left" vertical="center" shrinkToFit="1"/>
    </xf>
    <xf numFmtId="0" fontId="173" fillId="0" borderId="112" xfId="0" applyFont="1" applyBorder="1"/>
    <xf numFmtId="49" fontId="174" fillId="0" borderId="112" xfId="0" applyNumberFormat="1" applyFont="1" applyBorder="1"/>
    <xf numFmtId="0" fontId="174" fillId="0" borderId="112" xfId="0" applyFont="1" applyBorder="1"/>
    <xf numFmtId="10" fontId="174" fillId="0" borderId="112" xfId="0" applyNumberFormat="1" applyFont="1" applyBorder="1"/>
    <xf numFmtId="0" fontId="175" fillId="60" borderId="112" xfId="0" applyFont="1" applyFill="1" applyBorder="1"/>
    <xf numFmtId="49" fontId="174" fillId="60" borderId="112" xfId="0" applyNumberFormat="1" applyFont="1" applyFill="1" applyBorder="1"/>
    <xf numFmtId="0" fontId="174" fillId="60" borderId="112" xfId="0" applyFont="1" applyFill="1" applyBorder="1"/>
    <xf numFmtId="10" fontId="174" fillId="60" borderId="112" xfId="0" applyNumberFormat="1" applyFont="1" applyFill="1" applyBorder="1"/>
    <xf numFmtId="0" fontId="175" fillId="27" borderId="112" xfId="0" applyFont="1" applyFill="1" applyBorder="1"/>
    <xf numFmtId="49" fontId="174" fillId="27" borderId="112" xfId="0" applyNumberFormat="1" applyFont="1" applyFill="1" applyBorder="1"/>
    <xf numFmtId="0" fontId="174" fillId="27" borderId="112" xfId="0" applyFont="1" applyFill="1" applyBorder="1"/>
    <xf numFmtId="10" fontId="174" fillId="27" borderId="112" xfId="0" applyNumberFormat="1" applyFont="1" applyFill="1" applyBorder="1"/>
    <xf numFmtId="0" fontId="175" fillId="0" borderId="112" xfId="0" applyFont="1" applyBorder="1"/>
    <xf numFmtId="0" fontId="116" fillId="25" borderId="0" xfId="0" applyFont="1" applyFill="1" applyAlignment="1">
      <alignment horizontal="left"/>
    </xf>
    <xf numFmtId="0" fontId="176" fillId="25" borderId="0" xfId="0" applyFont="1" applyFill="1" applyAlignment="1">
      <alignment horizontal="left" wrapText="1"/>
    </xf>
    <xf numFmtId="0" fontId="177" fillId="25" borderId="0" xfId="0" applyFont="1" applyFill="1" applyAlignment="1">
      <alignment horizontal="center" wrapText="1"/>
    </xf>
    <xf numFmtId="0" fontId="176" fillId="25" borderId="0" xfId="0" applyFont="1" applyFill="1" applyAlignment="1">
      <alignment horizontal="center" wrapText="1"/>
    </xf>
    <xf numFmtId="0" fontId="61" fillId="52" borderId="0" xfId="0" applyFont="1" applyFill="1" applyAlignment="1">
      <alignment horizontal="left" vertical="center"/>
    </xf>
    <xf numFmtId="0" fontId="0" fillId="52" borderId="0" xfId="0" applyFill="1" applyAlignment="1">
      <alignment horizontal="center" vertical="center"/>
    </xf>
    <xf numFmtId="0" fontId="127" fillId="65" borderId="106" xfId="0" applyFont="1" applyFill="1" applyBorder="1" applyAlignment="1">
      <alignment horizontal="left" vertical="center" shrinkToFit="1"/>
    </xf>
    <xf numFmtId="0" fontId="127" fillId="65" borderId="107" xfId="0" applyFont="1" applyFill="1" applyBorder="1" applyAlignment="1">
      <alignment horizontal="left" vertical="center" shrinkToFit="1"/>
    </xf>
    <xf numFmtId="0" fontId="178" fillId="0" borderId="0" xfId="0" applyFont="1"/>
    <xf numFmtId="4" fontId="175" fillId="0" borderId="0" xfId="0" applyNumberFormat="1" applyFont="1" applyAlignment="1">
      <alignment vertical="center" wrapText="1"/>
    </xf>
    <xf numFmtId="176" fontId="175" fillId="0" borderId="0" xfId="0" applyNumberFormat="1" applyFont="1" applyAlignment="1">
      <alignment horizontal="right" vertical="center" wrapText="1"/>
    </xf>
    <xf numFmtId="0" fontId="179" fillId="36" borderId="17" xfId="0" applyFont="1" applyFill="1" applyBorder="1" applyAlignment="1">
      <alignment vertical="center" wrapText="1"/>
    </xf>
    <xf numFmtId="0" fontId="63" fillId="50" borderId="0" xfId="0" applyFont="1" applyFill="1" applyAlignment="1">
      <alignment vertical="center"/>
    </xf>
    <xf numFmtId="0" fontId="179" fillId="50" borderId="0" xfId="0" applyFont="1" applyFill="1" applyAlignment="1">
      <alignment vertical="center"/>
    </xf>
    <xf numFmtId="2" fontId="0" fillId="54" borderId="34" xfId="0" applyNumberFormat="1" applyFill="1" applyBorder="1"/>
    <xf numFmtId="2" fontId="0" fillId="54" borderId="98" xfId="0" applyNumberFormat="1" applyFill="1" applyBorder="1"/>
    <xf numFmtId="175" fontId="63" fillId="31" borderId="126" xfId="0" applyNumberFormat="1" applyFont="1" applyFill="1" applyBorder="1"/>
    <xf numFmtId="14" fontId="127" fillId="0" borderId="130" xfId="0" applyNumberFormat="1" applyFont="1" applyBorder="1" applyAlignment="1">
      <alignment horizontal="left" vertical="center" shrinkToFit="1"/>
    </xf>
    <xf numFmtId="176" fontId="128" fillId="0" borderId="130" xfId="0" applyNumberFormat="1" applyFont="1" applyBorder="1" applyAlignment="1">
      <alignment horizontal="right" vertical="center" shrinkToFit="1"/>
    </xf>
    <xf numFmtId="0" fontId="50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0" fillId="0" borderId="0" xfId="1" applyFont="1" applyAlignment="1">
      <alignment horizontal="center" vertical="center" wrapText="1"/>
    </xf>
    <xf numFmtId="0" fontId="52" fillId="0" borderId="0" xfId="0" applyFont="1" applyAlignment="1">
      <alignment horizontal="left" vertical="center" wrapText="1"/>
    </xf>
    <xf numFmtId="0" fontId="52" fillId="0" borderId="0" xfId="0" applyFont="1" applyAlignment="1">
      <alignment horizontal="right" vertical="center" wrapText="1"/>
    </xf>
    <xf numFmtId="0" fontId="3" fillId="0" borderId="131" xfId="1" applyBorder="1" applyAlignment="1">
      <alignment horizontal="center"/>
    </xf>
    <xf numFmtId="0" fontId="3" fillId="0" borderId="131" xfId="1" applyBorder="1"/>
    <xf numFmtId="0" fontId="21" fillId="0" borderId="131" xfId="1" applyFont="1" applyBorder="1" applyAlignment="1">
      <alignment horizontal="center"/>
    </xf>
    <xf numFmtId="0" fontId="3" fillId="0" borderId="132" xfId="1" applyBorder="1" applyAlignment="1">
      <alignment horizontal="left"/>
    </xf>
    <xf numFmtId="0" fontId="3" fillId="0" borderId="132" xfId="1" applyBorder="1"/>
    <xf numFmtId="0" fontId="21" fillId="0" borderId="133" xfId="1" applyFont="1" applyBorder="1"/>
    <xf numFmtId="0" fontId="21" fillId="0" borderId="132" xfId="1" applyFont="1" applyBorder="1" applyAlignment="1">
      <alignment horizontal="left"/>
    </xf>
    <xf numFmtId="0" fontId="41" fillId="0" borderId="134" xfId="1" applyFont="1" applyBorder="1" applyAlignment="1">
      <alignment horizontal="right" indent="3"/>
    </xf>
    <xf numFmtId="0" fontId="3" fillId="0" borderId="135" xfId="1" applyBorder="1"/>
    <xf numFmtId="0" fontId="3" fillId="0" borderId="135" xfId="1" applyBorder="1" applyAlignment="1">
      <alignment horizontal="center"/>
    </xf>
    <xf numFmtId="0" fontId="3" fillId="0" borderId="135" xfId="1" applyBorder="1" applyAlignment="1">
      <alignment horizontal="left"/>
    </xf>
    <xf numFmtId="0" fontId="3" fillId="0" borderId="136" xfId="1" applyBorder="1"/>
    <xf numFmtId="0" fontId="9" fillId="0" borderId="131" xfId="1" applyFont="1" applyBorder="1"/>
    <xf numFmtId="2" fontId="9" fillId="3" borderId="131" xfId="1" applyNumberFormat="1" applyFont="1" applyFill="1" applyBorder="1"/>
    <xf numFmtId="2" fontId="9" fillId="0" borderId="131" xfId="1" applyNumberFormat="1" applyFont="1" applyBorder="1"/>
    <xf numFmtId="175" fontId="169" fillId="31" borderId="126" xfId="0" applyNumberFormat="1" applyFont="1" applyFill="1" applyBorder="1"/>
    <xf numFmtId="175" fontId="55" fillId="31" borderId="0" xfId="0" applyNumberFormat="1" applyFont="1" applyFill="1"/>
    <xf numFmtId="182" fontId="73" fillId="0" borderId="0" xfId="0" applyNumberFormat="1" applyFont="1"/>
    <xf numFmtId="0" fontId="126" fillId="0" borderId="0" xfId="0" applyFont="1"/>
    <xf numFmtId="164" fontId="0" fillId="0" borderId="106" xfId="0" applyNumberFormat="1" applyBorder="1"/>
    <xf numFmtId="164" fontId="0" fillId="0" borderId="108" xfId="0" applyNumberFormat="1" applyBorder="1"/>
    <xf numFmtId="164" fontId="0" fillId="0" borderId="107" xfId="0" applyNumberFormat="1" applyBorder="1"/>
    <xf numFmtId="164" fontId="0" fillId="7" borderId="108" xfId="0" applyNumberFormat="1" applyFill="1" applyBorder="1"/>
    <xf numFmtId="0" fontId="0" fillId="0" borderId="108" xfId="0" applyBorder="1"/>
    <xf numFmtId="164" fontId="8" fillId="7" borderId="107" xfId="0" applyNumberFormat="1" applyFont="1" applyFill="1" applyBorder="1"/>
    <xf numFmtId="164" fontId="0" fillId="7" borderId="107" xfId="0" applyNumberFormat="1" applyFill="1" applyBorder="1"/>
    <xf numFmtId="173" fontId="65" fillId="28" borderId="137" xfId="0" applyNumberFormat="1" applyFont="1" applyFill="1" applyBorder="1"/>
    <xf numFmtId="17" fontId="0" fillId="34" borderId="138" xfId="0" applyNumberFormat="1" applyFill="1" applyBorder="1"/>
    <xf numFmtId="175" fontId="74" fillId="0" borderId="139" xfId="0" applyNumberFormat="1" applyFont="1" applyBorder="1" applyAlignment="1">
      <alignment horizontal="left" vertical="center"/>
    </xf>
    <xf numFmtId="175" fontId="74" fillId="31" borderId="140" xfId="0" applyNumberFormat="1" applyFont="1" applyFill="1" applyBorder="1" applyAlignment="1">
      <alignment horizontal="right"/>
    </xf>
    <xf numFmtId="176" fontId="149" fillId="43" borderId="0" xfId="0" applyNumberFormat="1" applyFont="1" applyFill="1" applyAlignment="1">
      <alignment horizontal="center" vertical="center"/>
    </xf>
    <xf numFmtId="0" fontId="0" fillId="61" borderId="0" xfId="0" applyFill="1"/>
    <xf numFmtId="0" fontId="49" fillId="61" borderId="0" xfId="0" applyFont="1" applyFill="1" applyAlignment="1">
      <alignment horizontal="right"/>
    </xf>
    <xf numFmtId="165" fontId="0" fillId="61" borderId="0" xfId="0" applyNumberFormat="1" applyFill="1"/>
    <xf numFmtId="181" fontId="0" fillId="61" borderId="0" xfId="0" applyNumberFormat="1" applyFill="1"/>
    <xf numFmtId="0" fontId="180" fillId="0" borderId="0" xfId="0" applyFont="1"/>
    <xf numFmtId="0" fontId="181" fillId="0" borderId="0" xfId="0" applyFont="1"/>
    <xf numFmtId="3" fontId="182" fillId="0" borderId="0" xfId="0" applyNumberFormat="1" applyFont="1"/>
    <xf numFmtId="180" fontId="183" fillId="0" borderId="0" xfId="0" applyNumberFormat="1" applyFont="1"/>
    <xf numFmtId="0" fontId="184" fillId="66" borderId="0" xfId="0" applyFont="1" applyFill="1"/>
    <xf numFmtId="0" fontId="184" fillId="66" borderId="0" xfId="0" applyFont="1" applyFill="1" applyAlignment="1">
      <alignment horizontal="center"/>
    </xf>
    <xf numFmtId="0" fontId="181" fillId="67" borderId="0" xfId="0" applyFont="1" applyFill="1"/>
    <xf numFmtId="3" fontId="182" fillId="67" borderId="0" xfId="0" applyNumberFormat="1" applyFont="1" applyFill="1"/>
    <xf numFmtId="0" fontId="50" fillId="31" borderId="0" xfId="0" applyFont="1" applyFill="1" applyAlignment="1">
      <alignment vertical="center" wrapText="1"/>
    </xf>
    <xf numFmtId="0" fontId="0" fillId="0" borderId="0" xfId="0"/>
    <xf numFmtId="0" fontId="50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3" fillId="0" borderId="103" xfId="0" applyFont="1" applyBorder="1" applyAlignment="1">
      <alignment horizontal="center"/>
    </xf>
    <xf numFmtId="0" fontId="0" fillId="0" borderId="103" xfId="0" applyBorder="1"/>
    <xf numFmtId="176" fontId="165" fillId="64" borderId="0" xfId="0" applyNumberFormat="1" applyFont="1" applyFill="1" applyAlignment="1">
      <alignment horizontal="center" vertical="center"/>
    </xf>
    <xf numFmtId="0" fontId="170" fillId="64" borderId="0" xfId="0" applyFont="1" applyFill="1" applyAlignment="1">
      <alignment horizontal="right" vertical="center" wrapText="1"/>
    </xf>
    <xf numFmtId="0" fontId="54" fillId="0" borderId="0" xfId="0" applyFont="1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3" fillId="0" borderId="0" xfId="1"/>
    <xf numFmtId="175" fontId="48" fillId="0" borderId="0" xfId="0" applyNumberFormat="1" applyFont="1" applyAlignment="1">
      <alignment horizontal="left"/>
    </xf>
    <xf numFmtId="0" fontId="52" fillId="0" borderId="0" xfId="0" applyFont="1" applyAlignment="1">
      <alignment horizontal="right" vertical="center" wrapText="1"/>
    </xf>
    <xf numFmtId="0" fontId="95" fillId="25" borderId="0" xfId="0" applyFont="1" applyFill="1" applyAlignment="1">
      <alignment horizontal="right" vertical="center" wrapText="1"/>
    </xf>
    <xf numFmtId="0" fontId="52" fillId="0" borderId="0" xfId="0" applyFont="1" applyAlignment="1">
      <alignment horizontal="left" vertical="center" wrapText="1"/>
    </xf>
    <xf numFmtId="0" fontId="185" fillId="0" borderId="65" xfId="0" applyFont="1" applyBorder="1" applyAlignment="1">
      <alignment horizontal="center" vertical="center" wrapText="1"/>
    </xf>
  </cellXfs>
  <cellStyles count="6">
    <cellStyle name="Euro" xfId="3" xr:uid="{00000000-0005-0000-0000-000003000000}"/>
    <cellStyle name="Hipervínculo" xfId="5" builtinId="8"/>
    <cellStyle name="Normal" xfId="0" builtinId="0"/>
    <cellStyle name="Normal 2" xfId="2" xr:uid="{00000000-0005-0000-0000-000002000000}"/>
    <cellStyle name="Normal 3" xfId="4" xr:uid="{00000000-0005-0000-0000-000004000000}"/>
    <cellStyle name="Texto explicativo" xfId="1" builtinId="53"/>
  </cellStyles>
  <dxfs count="37"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b/>
        <color rgb="FFFF0000"/>
      </font>
    </dxf>
    <dxf>
      <font>
        <b/>
        <color theme="0"/>
      </font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color theme="0"/>
      </font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color theme="0"/>
      </font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 patternType="solid">
          <bgColor theme="7" tint="0.59999389629810485"/>
        </patternFill>
      </fill>
    </dxf>
    <dxf>
      <font>
        <b/>
        <color rgb="FF0070C0"/>
      </font>
      <fill>
        <patternFill patternType="solid">
          <bgColor theme="4" tint="0.79998168889431442"/>
        </patternFill>
      </fill>
    </dxf>
    <dxf>
      <font>
        <b/>
        <color rgb="FF00B050"/>
      </font>
      <fill>
        <patternFill patternType="solid">
          <bgColor theme="9" tint="0.79998168889431442"/>
        </patternFill>
      </fill>
    </dxf>
    <dxf>
      <font>
        <b/>
        <color theme="0"/>
      </font>
      <fill>
        <patternFill patternType="solid">
          <bgColor theme="4" tint="-0.499984740745262"/>
        </patternFill>
      </fill>
    </dxf>
    <dxf>
      <font>
        <b/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>
          <fgColor auto="1"/>
          <bgColor rgb="FF92D050"/>
        </patternFill>
      </fill>
    </dxf>
    <dxf>
      <font>
        <b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 patternType="solid">
          <bgColor theme="7"/>
        </patternFill>
      </fill>
    </dxf>
    <dxf>
      <font>
        <b/>
        <color rgb="FFFFFF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b/>
      </font>
      <fill>
        <patternFill patternType="solid">
          <bgColor theme="4" tint="0.39997558519241921"/>
        </patternFill>
      </fill>
    </dxf>
    <dxf>
      <font>
        <color theme="5" tint="-0.249977111117893"/>
      </font>
      <fill>
        <patternFill patternType="solid">
          <bgColor theme="7" tint="0.79998168889431442"/>
        </patternFill>
      </fill>
    </dxf>
    <dxf>
      <font>
        <b/>
        <color theme="4" tint="-0.249977111117893"/>
      </font>
      <fill>
        <patternFill patternType="solid">
          <bgColor theme="7" tint="0.39997558519241921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theme="5" tint="-0.249977111117893"/>
      </font>
      <fill>
        <patternFill patternType="solid">
          <bgColor theme="7" tint="0.39997558519241921"/>
        </patternFill>
      </fill>
    </dxf>
    <dxf>
      <font>
        <b/>
        <color rgb="FF00B050"/>
      </font>
    </dxf>
    <dxf>
      <font>
        <b/>
        <color rgb="FF92D050"/>
      </font>
    </dxf>
    <dxf>
      <font>
        <b/>
        <color rgb="FF9C0006"/>
      </font>
    </dxf>
    <dxf>
      <font>
        <b/>
        <i/>
        <u/>
        <color rgb="FFC00000"/>
      </font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D9D9D9"/>
      <rgbColor rgb="FF98B855"/>
      <rgbColor rgb="FFC00000"/>
      <rgbColor rgb="FF008000"/>
      <rgbColor rgb="FF000080"/>
      <rgbColor rgb="FF77933C"/>
      <rgbColor rgb="FF800080"/>
      <rgbColor rgb="FF007477"/>
      <rgbColor rgb="FFC0C0C0"/>
      <rgbColor rgb="FF808080"/>
      <rgbColor rgb="FF9999FF"/>
      <rgbColor rgb="FF993366"/>
      <rgbColor rgb="FFFFFFCC"/>
      <rgbColor rgb="FFCCFFFF"/>
      <rgbColor rgb="FF660066"/>
      <rgbColor rgb="FFE46C0A"/>
      <rgbColor rgb="FF0070C0"/>
      <rgbColor rgb="FFCCCCFF"/>
      <rgbColor rgb="FF000080"/>
      <rgbColor rgb="FFF2DCDB"/>
      <rgbColor rgb="FFFCD5B5"/>
      <rgbColor rgb="FFD7E4BD"/>
      <rgbColor rgb="FFE3E3E3"/>
      <rgbColor rgb="FF800000"/>
      <rgbColor rgb="FF31859C"/>
      <rgbColor rgb="FF0000FF"/>
      <rgbColor rgb="FF00B050"/>
      <rgbColor rgb="FFDCE6F2"/>
      <rgbColor rgb="FFCCFFCC"/>
      <rgbColor rgb="FFFFFF99"/>
      <rgbColor rgb="FFC1D1EC"/>
      <rgbColor rgb="FFB7B7B7"/>
      <rgbColor rgb="FFCC99FF"/>
      <rgbColor rgb="FFFFCC99"/>
      <rgbColor rgb="FF4A7EBB"/>
      <rgbColor rgb="FF33CCCC"/>
      <rgbColor rgb="FF92D050"/>
      <rgbColor rgb="FFFFCC00"/>
      <rgbColor rgb="FFFFC000"/>
      <rgbColor rgb="FFFF6600"/>
      <rgbColor rgb="FF376092"/>
      <rgbColor rgb="FF878787"/>
      <rgbColor rgb="FF003366"/>
      <rgbColor rgb="FF339966"/>
      <rgbColor rgb="FF4F81BD"/>
      <rgbColor rgb="FF339933"/>
      <rgbColor rgb="FFC0504D"/>
      <rgbColor rgb="FFBE4B48"/>
      <rgbColor rgb="FF333399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6372650148810279E-2"/>
          <c:y val="6.0610276960868327E-2"/>
          <c:w val="0.89024526834376294"/>
          <c:h val="0.68698592066414388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ln>
                <a:prstDash val="solid"/>
              </a:ln>
            </c:spPr>
          </c:marker>
          <c:dLbls>
            <c:dLbl>
              <c:idx val="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A5-014B-ABC9-3208466DB10B}"/>
                </c:ext>
              </c:extLst>
            </c:dLbl>
            <c:dLbl>
              <c:idx val="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A5-014B-ABC9-3208466DB10B}"/>
                </c:ext>
              </c:extLst>
            </c:dLbl>
            <c:dLbl>
              <c:idx val="9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A5-014B-ABC9-3208466DB10B}"/>
                </c:ext>
              </c:extLst>
            </c:dLbl>
            <c:dLbl>
              <c:idx val="1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A5-014B-ABC9-3208466DB10B}"/>
                </c:ext>
              </c:extLst>
            </c:dLbl>
            <c:spPr>
              <a:noFill/>
              <a:ln w="25400">
                <a:noFill/>
                <a:prstDash val="solid"/>
              </a:ln>
            </c:spPr>
            <c:txPr>
              <a:bodyPr/>
              <a:lstStyle/>
              <a:p>
                <a:pPr>
                  <a:defRPr sz="800">
                    <a:solidFill>
                      <a:srgbClr val="FF0000"/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Info!$E$9:$AA$9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Info!$D$11:$AA$11</c:f>
              <c:numCache>
                <c:formatCode>#,##0\ [$€-40A]</c:formatCode>
                <c:ptCount val="24"/>
                <c:pt idx="0">
                  <c:v>11525</c:v>
                </c:pt>
                <c:pt idx="1">
                  <c:v>24880</c:v>
                </c:pt>
                <c:pt idx="2">
                  <c:v>23500</c:v>
                </c:pt>
                <c:pt idx="3">
                  <c:v>27850</c:v>
                </c:pt>
                <c:pt idx="4">
                  <c:v>23800</c:v>
                </c:pt>
                <c:pt idx="5">
                  <c:v>23500</c:v>
                </c:pt>
                <c:pt idx="6">
                  <c:v>32650</c:v>
                </c:pt>
                <c:pt idx="7">
                  <c:v>46550</c:v>
                </c:pt>
                <c:pt idx="8">
                  <c:v>39850</c:v>
                </c:pt>
                <c:pt idx="9">
                  <c:v>26570</c:v>
                </c:pt>
                <c:pt idx="10">
                  <c:v>29500</c:v>
                </c:pt>
                <c:pt idx="11">
                  <c:v>30150</c:v>
                </c:pt>
                <c:pt idx="12">
                  <c:v>33090</c:v>
                </c:pt>
                <c:pt idx="13">
                  <c:v>24190</c:v>
                </c:pt>
                <c:pt idx="14">
                  <c:v>36075</c:v>
                </c:pt>
                <c:pt idx="15">
                  <c:v>27750</c:v>
                </c:pt>
                <c:pt idx="16">
                  <c:v>34135</c:v>
                </c:pt>
                <c:pt idx="17">
                  <c:v>29070</c:v>
                </c:pt>
                <c:pt idx="18">
                  <c:v>27695</c:v>
                </c:pt>
                <c:pt idx="19">
                  <c:v>31025</c:v>
                </c:pt>
                <c:pt idx="20">
                  <c:v>38670</c:v>
                </c:pt>
                <c:pt idx="21">
                  <c:v>46435</c:v>
                </c:pt>
                <c:pt idx="22">
                  <c:v>48705</c:v>
                </c:pt>
                <c:pt idx="23">
                  <c:v>48600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A5-014B-ABC9-3208466DB10B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square"/>
            <c:size val="4"/>
            <c:spPr>
              <a:ln>
                <a:prstDash val="solid"/>
              </a:ln>
            </c:spPr>
          </c:marker>
          <c:dLbls>
            <c:dLbl>
              <c:idx val="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A5-014B-ABC9-3208466DB10B}"/>
                </c:ext>
              </c:extLst>
            </c:dLbl>
            <c:dLbl>
              <c:idx val="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A5-014B-ABC9-3208466DB10B}"/>
                </c:ext>
              </c:extLst>
            </c:dLbl>
            <c:spPr>
              <a:noFill/>
              <a:ln w="25400">
                <a:noFill/>
                <a:prstDash val="solid"/>
              </a:ln>
            </c:spPr>
            <c:txPr>
              <a:bodyPr/>
              <a:lstStyle/>
              <a:p>
                <a:pPr>
                  <a:defRPr sz="800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Info!$E$9:$AA$9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Info!$D$10:$AA$10</c:f>
              <c:numCache>
                <c:formatCode>#,##0\ [$€-40A]</c:formatCode>
                <c:ptCount val="24"/>
                <c:pt idx="0">
                  <c:v>14990</c:v>
                </c:pt>
                <c:pt idx="1">
                  <c:v>25595</c:v>
                </c:pt>
                <c:pt idx="2">
                  <c:v>29655</c:v>
                </c:pt>
                <c:pt idx="3">
                  <c:v>38875</c:v>
                </c:pt>
                <c:pt idx="4">
                  <c:v>34850</c:v>
                </c:pt>
                <c:pt idx="5">
                  <c:v>26500</c:v>
                </c:pt>
                <c:pt idx="6">
                  <c:v>26700</c:v>
                </c:pt>
                <c:pt idx="7">
                  <c:v>56550</c:v>
                </c:pt>
                <c:pt idx="8">
                  <c:v>41080</c:v>
                </c:pt>
                <c:pt idx="9">
                  <c:v>19720</c:v>
                </c:pt>
                <c:pt idx="10">
                  <c:v>24700</c:v>
                </c:pt>
                <c:pt idx="11">
                  <c:v>25875</c:v>
                </c:pt>
                <c:pt idx="12">
                  <c:v>27865</c:v>
                </c:pt>
                <c:pt idx="13">
                  <c:v>29035</c:v>
                </c:pt>
                <c:pt idx="14">
                  <c:v>31595</c:v>
                </c:pt>
                <c:pt idx="15">
                  <c:v>31265</c:v>
                </c:pt>
                <c:pt idx="16">
                  <c:v>31760</c:v>
                </c:pt>
                <c:pt idx="17">
                  <c:v>31575</c:v>
                </c:pt>
                <c:pt idx="18">
                  <c:v>32245</c:v>
                </c:pt>
                <c:pt idx="19">
                  <c:v>35815</c:v>
                </c:pt>
                <c:pt idx="20">
                  <c:v>37330</c:v>
                </c:pt>
                <c:pt idx="21">
                  <c:v>37980</c:v>
                </c:pt>
                <c:pt idx="22">
                  <c:v>44150</c:v>
                </c:pt>
                <c:pt idx="23">
                  <c:v>46200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7A5-014B-ABC9-3208466DB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180160"/>
        <c:axId val="213881216"/>
      </c:lineChart>
      <c:catAx>
        <c:axId val="21118016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13881216"/>
        <c:crosses val="autoZero"/>
        <c:auto val="1"/>
        <c:lblAlgn val="ctr"/>
        <c:lblOffset val="100"/>
        <c:noMultiLvlLbl val="0"/>
      </c:catAx>
      <c:valAx>
        <c:axId val="213881216"/>
        <c:scaling>
          <c:orientation val="minMax"/>
        </c:scaling>
        <c:delete val="0"/>
        <c:axPos val="l"/>
        <c:numFmt formatCode="#,##0\ [$€-40A]" sourceLinked="1"/>
        <c:majorTickMark val="none"/>
        <c:minorTickMark val="none"/>
        <c:tickLblPos val="nextTo"/>
        <c:crossAx val="21118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189155623839703"/>
          <c:y val="0.88552178911519996"/>
          <c:w val="0.15409144100889949"/>
          <c:h val="8.0808080808080773E-2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1100917431192664E-2"/>
          <c:y val="3.036876355748374E-2"/>
          <c:w val="0.80733944954128445"/>
          <c:h val="0.85466377440347563"/>
        </c:manualLayout>
      </c:layout>
      <c:lineChart>
        <c:grouping val="standard"/>
        <c:varyColors val="0"/>
        <c:ser>
          <c:idx val="0"/>
          <c:order val="0"/>
          <c:tx>
            <c:strRef>
              <c:f>Historico!$C$4</c:f>
              <c:strCache>
                <c:ptCount val="1"/>
                <c:pt idx="0">
                  <c:v>Ahorro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Historico!$B$5:$B$88</c:f>
              <c:numCache>
                <c:formatCode>mmm\-yy</c:formatCode>
                <c:ptCount val="84"/>
                <c:pt idx="0">
                  <c:v>39873</c:v>
                </c:pt>
                <c:pt idx="1">
                  <c:v>39965</c:v>
                </c:pt>
                <c:pt idx="2">
                  <c:v>40026</c:v>
                </c:pt>
                <c:pt idx="3">
                  <c:v>40118</c:v>
                </c:pt>
                <c:pt idx="4">
                  <c:v>40210</c:v>
                </c:pt>
                <c:pt idx="5">
                  <c:v>40269</c:v>
                </c:pt>
                <c:pt idx="6">
                  <c:v>40330</c:v>
                </c:pt>
                <c:pt idx="7">
                  <c:v>40422</c:v>
                </c:pt>
                <c:pt idx="8">
                  <c:v>40513</c:v>
                </c:pt>
                <c:pt idx="9">
                  <c:v>40603</c:v>
                </c:pt>
                <c:pt idx="10">
                  <c:v>40695</c:v>
                </c:pt>
                <c:pt idx="11">
                  <c:v>40787</c:v>
                </c:pt>
                <c:pt idx="12">
                  <c:v>40878</c:v>
                </c:pt>
                <c:pt idx="13">
                  <c:v>40969</c:v>
                </c:pt>
                <c:pt idx="14">
                  <c:v>41061</c:v>
                </c:pt>
                <c:pt idx="15">
                  <c:v>41153</c:v>
                </c:pt>
                <c:pt idx="16">
                  <c:v>41244</c:v>
                </c:pt>
                <c:pt idx="17">
                  <c:v>41334</c:v>
                </c:pt>
                <c:pt idx="18">
                  <c:v>41426</c:v>
                </c:pt>
                <c:pt idx="19">
                  <c:v>41518</c:v>
                </c:pt>
                <c:pt idx="20">
                  <c:v>41609</c:v>
                </c:pt>
                <c:pt idx="21">
                  <c:v>41699</c:v>
                </c:pt>
                <c:pt idx="22">
                  <c:v>41791</c:v>
                </c:pt>
                <c:pt idx="23">
                  <c:v>41852</c:v>
                </c:pt>
                <c:pt idx="24">
                  <c:v>41944</c:v>
                </c:pt>
                <c:pt idx="25">
                  <c:v>42036</c:v>
                </c:pt>
                <c:pt idx="26">
                  <c:v>42125</c:v>
                </c:pt>
                <c:pt idx="27">
                  <c:v>42217</c:v>
                </c:pt>
                <c:pt idx="28">
                  <c:v>42309</c:v>
                </c:pt>
                <c:pt idx="29">
                  <c:v>42401</c:v>
                </c:pt>
                <c:pt idx="30">
                  <c:v>42522</c:v>
                </c:pt>
                <c:pt idx="31">
                  <c:v>42614</c:v>
                </c:pt>
                <c:pt idx="32">
                  <c:v>42705</c:v>
                </c:pt>
                <c:pt idx="33">
                  <c:v>42795</c:v>
                </c:pt>
                <c:pt idx="34">
                  <c:v>42887</c:v>
                </c:pt>
                <c:pt idx="35">
                  <c:v>42979</c:v>
                </c:pt>
                <c:pt idx="36">
                  <c:v>43070</c:v>
                </c:pt>
                <c:pt idx="37">
                  <c:v>43160</c:v>
                </c:pt>
                <c:pt idx="38">
                  <c:v>43252</c:v>
                </c:pt>
                <c:pt idx="39">
                  <c:v>43344</c:v>
                </c:pt>
                <c:pt idx="40">
                  <c:v>43435</c:v>
                </c:pt>
                <c:pt idx="41">
                  <c:v>43466</c:v>
                </c:pt>
                <c:pt idx="42">
                  <c:v>43525</c:v>
                </c:pt>
                <c:pt idx="43">
                  <c:v>43586</c:v>
                </c:pt>
                <c:pt idx="44">
                  <c:v>43647</c:v>
                </c:pt>
                <c:pt idx="45">
                  <c:v>43709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43891</c:v>
                </c:pt>
                <c:pt idx="50">
                  <c:v>43952</c:v>
                </c:pt>
                <c:pt idx="51">
                  <c:v>44013</c:v>
                </c:pt>
                <c:pt idx="52">
                  <c:v>44075</c:v>
                </c:pt>
                <c:pt idx="53">
                  <c:v>44105</c:v>
                </c:pt>
                <c:pt idx="54">
                  <c:v>44166</c:v>
                </c:pt>
                <c:pt idx="55">
                  <c:v>44197</c:v>
                </c:pt>
                <c:pt idx="56">
                  <c:v>44256</c:v>
                </c:pt>
                <c:pt idx="57">
                  <c:v>44317</c:v>
                </c:pt>
                <c:pt idx="58">
                  <c:v>44378</c:v>
                </c:pt>
                <c:pt idx="59">
                  <c:v>44440</c:v>
                </c:pt>
                <c:pt idx="60">
                  <c:v>44470</c:v>
                </c:pt>
                <c:pt idx="61">
                  <c:v>44531</c:v>
                </c:pt>
                <c:pt idx="62">
                  <c:v>44562</c:v>
                </c:pt>
                <c:pt idx="63">
                  <c:v>44621</c:v>
                </c:pt>
                <c:pt idx="64">
                  <c:v>44682</c:v>
                </c:pt>
                <c:pt idx="65">
                  <c:v>44743</c:v>
                </c:pt>
                <c:pt idx="66">
                  <c:v>44805</c:v>
                </c:pt>
                <c:pt idx="67">
                  <c:v>44835</c:v>
                </c:pt>
                <c:pt idx="68">
                  <c:v>44896</c:v>
                </c:pt>
                <c:pt idx="69">
                  <c:v>44927</c:v>
                </c:pt>
                <c:pt idx="70">
                  <c:v>44986</c:v>
                </c:pt>
                <c:pt idx="71">
                  <c:v>45047</c:v>
                </c:pt>
                <c:pt idx="72">
                  <c:v>45108</c:v>
                </c:pt>
                <c:pt idx="73">
                  <c:v>45170</c:v>
                </c:pt>
                <c:pt idx="74">
                  <c:v>45261</c:v>
                </c:pt>
                <c:pt idx="75">
                  <c:v>45292</c:v>
                </c:pt>
                <c:pt idx="76">
                  <c:v>45352</c:v>
                </c:pt>
                <c:pt idx="77">
                  <c:v>45413</c:v>
                </c:pt>
                <c:pt idx="78">
                  <c:v>45566</c:v>
                </c:pt>
                <c:pt idx="79">
                  <c:v>45658</c:v>
                </c:pt>
                <c:pt idx="80">
                  <c:v>45717</c:v>
                </c:pt>
                <c:pt idx="81">
                  <c:v>45778</c:v>
                </c:pt>
                <c:pt idx="82">
                  <c:v>45931</c:v>
                </c:pt>
                <c:pt idx="83">
                  <c:v>46023</c:v>
                </c:pt>
              </c:numCache>
            </c:numRef>
          </c:cat>
          <c:val>
            <c:numRef>
              <c:f>Historico!$C$5:$C$88</c:f>
              <c:numCache>
                <c:formatCode>#,##0\ "€"</c:formatCode>
                <c:ptCount val="84"/>
                <c:pt idx="0">
                  <c:v>21350</c:v>
                </c:pt>
                <c:pt idx="1">
                  <c:v>21450</c:v>
                </c:pt>
                <c:pt idx="2">
                  <c:v>21450</c:v>
                </c:pt>
                <c:pt idx="3">
                  <c:v>21450</c:v>
                </c:pt>
                <c:pt idx="4">
                  <c:v>21450</c:v>
                </c:pt>
                <c:pt idx="5">
                  <c:v>21450</c:v>
                </c:pt>
                <c:pt idx="6">
                  <c:v>21450</c:v>
                </c:pt>
                <c:pt idx="7">
                  <c:v>21450</c:v>
                </c:pt>
                <c:pt idx="8">
                  <c:v>21460</c:v>
                </c:pt>
                <c:pt idx="9">
                  <c:v>21470</c:v>
                </c:pt>
                <c:pt idx="10">
                  <c:v>21470</c:v>
                </c:pt>
                <c:pt idx="11">
                  <c:v>21475</c:v>
                </c:pt>
                <c:pt idx="12">
                  <c:v>21475</c:v>
                </c:pt>
                <c:pt idx="13">
                  <c:v>21480</c:v>
                </c:pt>
                <c:pt idx="14">
                  <c:v>21490</c:v>
                </c:pt>
                <c:pt idx="15">
                  <c:v>21490</c:v>
                </c:pt>
                <c:pt idx="16">
                  <c:v>21500</c:v>
                </c:pt>
                <c:pt idx="17">
                  <c:v>21500</c:v>
                </c:pt>
                <c:pt idx="18">
                  <c:v>21510</c:v>
                </c:pt>
                <c:pt idx="19">
                  <c:v>21510</c:v>
                </c:pt>
                <c:pt idx="20">
                  <c:v>21515</c:v>
                </c:pt>
                <c:pt idx="21">
                  <c:v>21520</c:v>
                </c:pt>
                <c:pt idx="22">
                  <c:v>21525</c:v>
                </c:pt>
                <c:pt idx="23">
                  <c:v>21530</c:v>
                </c:pt>
                <c:pt idx="24">
                  <c:v>21530</c:v>
                </c:pt>
                <c:pt idx="25">
                  <c:v>21530</c:v>
                </c:pt>
                <c:pt idx="26">
                  <c:v>21535</c:v>
                </c:pt>
                <c:pt idx="27">
                  <c:v>21535</c:v>
                </c:pt>
                <c:pt idx="28">
                  <c:v>21540</c:v>
                </c:pt>
                <c:pt idx="29">
                  <c:v>14350</c:v>
                </c:pt>
                <c:pt idx="30">
                  <c:v>14500</c:v>
                </c:pt>
                <c:pt idx="31">
                  <c:v>14500</c:v>
                </c:pt>
                <c:pt idx="32">
                  <c:v>12225</c:v>
                </c:pt>
                <c:pt idx="33">
                  <c:v>12350</c:v>
                </c:pt>
                <c:pt idx="34">
                  <c:v>13225</c:v>
                </c:pt>
                <c:pt idx="35">
                  <c:v>13750</c:v>
                </c:pt>
                <c:pt idx="36">
                  <c:v>14000</c:v>
                </c:pt>
                <c:pt idx="37">
                  <c:v>16250</c:v>
                </c:pt>
                <c:pt idx="38">
                  <c:v>16750</c:v>
                </c:pt>
                <c:pt idx="39">
                  <c:v>17000</c:v>
                </c:pt>
                <c:pt idx="40">
                  <c:v>19250</c:v>
                </c:pt>
                <c:pt idx="41">
                  <c:v>19600</c:v>
                </c:pt>
                <c:pt idx="42">
                  <c:v>20200</c:v>
                </c:pt>
                <c:pt idx="43">
                  <c:v>21000</c:v>
                </c:pt>
                <c:pt idx="44">
                  <c:v>21100</c:v>
                </c:pt>
                <c:pt idx="45">
                  <c:v>21500</c:v>
                </c:pt>
                <c:pt idx="46">
                  <c:v>22100</c:v>
                </c:pt>
                <c:pt idx="47">
                  <c:v>22200</c:v>
                </c:pt>
                <c:pt idx="48">
                  <c:v>22650</c:v>
                </c:pt>
                <c:pt idx="49">
                  <c:v>22650</c:v>
                </c:pt>
                <c:pt idx="50">
                  <c:v>22500</c:v>
                </c:pt>
                <c:pt idx="51">
                  <c:v>23000</c:v>
                </c:pt>
                <c:pt idx="52">
                  <c:v>24000</c:v>
                </c:pt>
                <c:pt idx="53">
                  <c:v>23850</c:v>
                </c:pt>
                <c:pt idx="54">
                  <c:v>24750</c:v>
                </c:pt>
                <c:pt idx="55">
                  <c:v>26000</c:v>
                </c:pt>
                <c:pt idx="56">
                  <c:v>26025</c:v>
                </c:pt>
                <c:pt idx="57">
                  <c:v>16400</c:v>
                </c:pt>
                <c:pt idx="58">
                  <c:v>16375</c:v>
                </c:pt>
                <c:pt idx="59">
                  <c:v>17150</c:v>
                </c:pt>
                <c:pt idx="60">
                  <c:v>17000</c:v>
                </c:pt>
                <c:pt idx="61">
                  <c:v>17250</c:v>
                </c:pt>
                <c:pt idx="62">
                  <c:v>18115</c:v>
                </c:pt>
                <c:pt idx="63">
                  <c:v>16450</c:v>
                </c:pt>
                <c:pt idx="64">
                  <c:v>15000</c:v>
                </c:pt>
                <c:pt idx="65">
                  <c:v>15000</c:v>
                </c:pt>
                <c:pt idx="66">
                  <c:v>18200</c:v>
                </c:pt>
                <c:pt idx="67">
                  <c:v>18050</c:v>
                </c:pt>
                <c:pt idx="68">
                  <c:v>20325</c:v>
                </c:pt>
                <c:pt idx="69">
                  <c:v>20875</c:v>
                </c:pt>
                <c:pt idx="70">
                  <c:v>22300</c:v>
                </c:pt>
                <c:pt idx="71">
                  <c:v>24175</c:v>
                </c:pt>
                <c:pt idx="72">
                  <c:v>25710</c:v>
                </c:pt>
                <c:pt idx="73">
                  <c:v>27815</c:v>
                </c:pt>
                <c:pt idx="74">
                  <c:v>29600</c:v>
                </c:pt>
                <c:pt idx="75">
                  <c:v>30960</c:v>
                </c:pt>
                <c:pt idx="76">
                  <c:v>32700</c:v>
                </c:pt>
                <c:pt idx="77">
                  <c:v>34615</c:v>
                </c:pt>
                <c:pt idx="78">
                  <c:v>38835</c:v>
                </c:pt>
                <c:pt idx="79">
                  <c:v>41810</c:v>
                </c:pt>
                <c:pt idx="80">
                  <c:v>42810</c:v>
                </c:pt>
                <c:pt idx="81">
                  <c:v>43250</c:v>
                </c:pt>
                <c:pt idx="82">
                  <c:v>51330</c:v>
                </c:pt>
                <c:pt idx="83">
                  <c:v>54865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C-2947-ABEF-A5229377D5A2}"/>
            </c:ext>
          </c:extLst>
        </c:ser>
        <c:ser>
          <c:idx val="1"/>
          <c:order val="1"/>
          <c:tx>
            <c:strRef>
              <c:f>Historico!$D$4</c:f>
              <c:strCache>
                <c:ptCount val="1"/>
                <c:pt idx="0">
                  <c:v>CC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Historico!$B$5:$B$88</c:f>
              <c:numCache>
                <c:formatCode>mmm\-yy</c:formatCode>
                <c:ptCount val="84"/>
                <c:pt idx="0">
                  <c:v>39873</c:v>
                </c:pt>
                <c:pt idx="1">
                  <c:v>39965</c:v>
                </c:pt>
                <c:pt idx="2">
                  <c:v>40026</c:v>
                </c:pt>
                <c:pt idx="3">
                  <c:v>40118</c:v>
                </c:pt>
                <c:pt idx="4">
                  <c:v>40210</c:v>
                </c:pt>
                <c:pt idx="5">
                  <c:v>40269</c:v>
                </c:pt>
                <c:pt idx="6">
                  <c:v>40330</c:v>
                </c:pt>
                <c:pt idx="7">
                  <c:v>40422</c:v>
                </c:pt>
                <c:pt idx="8">
                  <c:v>40513</c:v>
                </c:pt>
                <c:pt idx="9">
                  <c:v>40603</c:v>
                </c:pt>
                <c:pt idx="10">
                  <c:v>40695</c:v>
                </c:pt>
                <c:pt idx="11">
                  <c:v>40787</c:v>
                </c:pt>
                <c:pt idx="12">
                  <c:v>40878</c:v>
                </c:pt>
                <c:pt idx="13">
                  <c:v>40969</c:v>
                </c:pt>
                <c:pt idx="14">
                  <c:v>41061</c:v>
                </c:pt>
                <c:pt idx="15">
                  <c:v>41153</c:v>
                </c:pt>
                <c:pt idx="16">
                  <c:v>41244</c:v>
                </c:pt>
                <c:pt idx="17">
                  <c:v>41334</c:v>
                </c:pt>
                <c:pt idx="18">
                  <c:v>41426</c:v>
                </c:pt>
                <c:pt idx="19">
                  <c:v>41518</c:v>
                </c:pt>
                <c:pt idx="20">
                  <c:v>41609</c:v>
                </c:pt>
                <c:pt idx="21">
                  <c:v>41699</c:v>
                </c:pt>
                <c:pt idx="22">
                  <c:v>41791</c:v>
                </c:pt>
                <c:pt idx="23">
                  <c:v>41852</c:v>
                </c:pt>
                <c:pt idx="24">
                  <c:v>41944</c:v>
                </c:pt>
                <c:pt idx="25">
                  <c:v>42036</c:v>
                </c:pt>
                <c:pt idx="26">
                  <c:v>42125</c:v>
                </c:pt>
                <c:pt idx="27">
                  <c:v>42217</c:v>
                </c:pt>
                <c:pt idx="28">
                  <c:v>42309</c:v>
                </c:pt>
                <c:pt idx="29">
                  <c:v>42401</c:v>
                </c:pt>
                <c:pt idx="30">
                  <c:v>42522</c:v>
                </c:pt>
                <c:pt idx="31">
                  <c:v>42614</c:v>
                </c:pt>
                <c:pt idx="32">
                  <c:v>42705</c:v>
                </c:pt>
                <c:pt idx="33">
                  <c:v>42795</c:v>
                </c:pt>
                <c:pt idx="34">
                  <c:v>42887</c:v>
                </c:pt>
                <c:pt idx="35">
                  <c:v>42979</c:v>
                </c:pt>
                <c:pt idx="36">
                  <c:v>43070</c:v>
                </c:pt>
                <c:pt idx="37">
                  <c:v>43160</c:v>
                </c:pt>
                <c:pt idx="38">
                  <c:v>43252</c:v>
                </c:pt>
                <c:pt idx="39">
                  <c:v>43344</c:v>
                </c:pt>
                <c:pt idx="40">
                  <c:v>43435</c:v>
                </c:pt>
                <c:pt idx="41">
                  <c:v>43466</c:v>
                </c:pt>
                <c:pt idx="42">
                  <c:v>43525</c:v>
                </c:pt>
                <c:pt idx="43">
                  <c:v>43586</c:v>
                </c:pt>
                <c:pt idx="44">
                  <c:v>43647</c:v>
                </c:pt>
                <c:pt idx="45">
                  <c:v>43709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43891</c:v>
                </c:pt>
                <c:pt idx="50">
                  <c:v>43952</c:v>
                </c:pt>
                <c:pt idx="51">
                  <c:v>44013</c:v>
                </c:pt>
                <c:pt idx="52">
                  <c:v>44075</c:v>
                </c:pt>
                <c:pt idx="53">
                  <c:v>44105</c:v>
                </c:pt>
                <c:pt idx="54">
                  <c:v>44166</c:v>
                </c:pt>
                <c:pt idx="55">
                  <c:v>44197</c:v>
                </c:pt>
                <c:pt idx="56">
                  <c:v>44256</c:v>
                </c:pt>
                <c:pt idx="57">
                  <c:v>44317</c:v>
                </c:pt>
                <c:pt idx="58">
                  <c:v>44378</c:v>
                </c:pt>
                <c:pt idx="59">
                  <c:v>44440</c:v>
                </c:pt>
                <c:pt idx="60">
                  <c:v>44470</c:v>
                </c:pt>
                <c:pt idx="61">
                  <c:v>44531</c:v>
                </c:pt>
                <c:pt idx="62">
                  <c:v>44562</c:v>
                </c:pt>
                <c:pt idx="63">
                  <c:v>44621</c:v>
                </c:pt>
                <c:pt idx="64">
                  <c:v>44682</c:v>
                </c:pt>
                <c:pt idx="65">
                  <c:v>44743</c:v>
                </c:pt>
                <c:pt idx="66">
                  <c:v>44805</c:v>
                </c:pt>
                <c:pt idx="67">
                  <c:v>44835</c:v>
                </c:pt>
                <c:pt idx="68">
                  <c:v>44896</c:v>
                </c:pt>
                <c:pt idx="69">
                  <c:v>44927</c:v>
                </c:pt>
                <c:pt idx="70">
                  <c:v>44986</c:v>
                </c:pt>
                <c:pt idx="71">
                  <c:v>45047</c:v>
                </c:pt>
                <c:pt idx="72">
                  <c:v>45108</c:v>
                </c:pt>
                <c:pt idx="73">
                  <c:v>45170</c:v>
                </c:pt>
                <c:pt idx="74">
                  <c:v>45261</c:v>
                </c:pt>
                <c:pt idx="75">
                  <c:v>45292</c:v>
                </c:pt>
                <c:pt idx="76">
                  <c:v>45352</c:v>
                </c:pt>
                <c:pt idx="77">
                  <c:v>45413</c:v>
                </c:pt>
                <c:pt idx="78">
                  <c:v>45566</c:v>
                </c:pt>
                <c:pt idx="79">
                  <c:v>45658</c:v>
                </c:pt>
                <c:pt idx="80">
                  <c:v>45717</c:v>
                </c:pt>
                <c:pt idx="81">
                  <c:v>45778</c:v>
                </c:pt>
                <c:pt idx="82">
                  <c:v>45931</c:v>
                </c:pt>
                <c:pt idx="83">
                  <c:v>46023</c:v>
                </c:pt>
              </c:numCache>
            </c:numRef>
          </c:cat>
          <c:val>
            <c:numRef>
              <c:f>Historico!$D$5:$D$88</c:f>
              <c:numCache>
                <c:formatCode>#,##0\ "€"</c:formatCode>
                <c:ptCount val="84"/>
                <c:pt idx="0">
                  <c:v>17700</c:v>
                </c:pt>
                <c:pt idx="1">
                  <c:v>9700</c:v>
                </c:pt>
                <c:pt idx="2">
                  <c:v>22200</c:v>
                </c:pt>
                <c:pt idx="3">
                  <c:v>22500</c:v>
                </c:pt>
                <c:pt idx="4">
                  <c:v>27800</c:v>
                </c:pt>
                <c:pt idx="5">
                  <c:v>29700</c:v>
                </c:pt>
                <c:pt idx="6">
                  <c:v>30700</c:v>
                </c:pt>
                <c:pt idx="7">
                  <c:v>30600</c:v>
                </c:pt>
                <c:pt idx="8">
                  <c:v>30600</c:v>
                </c:pt>
                <c:pt idx="9">
                  <c:v>27600</c:v>
                </c:pt>
                <c:pt idx="10">
                  <c:v>25000</c:v>
                </c:pt>
                <c:pt idx="11">
                  <c:v>24000</c:v>
                </c:pt>
                <c:pt idx="12">
                  <c:v>23000</c:v>
                </c:pt>
                <c:pt idx="13">
                  <c:v>18000</c:v>
                </c:pt>
                <c:pt idx="14">
                  <c:v>19000</c:v>
                </c:pt>
                <c:pt idx="15">
                  <c:v>19500</c:v>
                </c:pt>
                <c:pt idx="16">
                  <c:v>20000</c:v>
                </c:pt>
                <c:pt idx="17">
                  <c:v>11500</c:v>
                </c:pt>
                <c:pt idx="18">
                  <c:v>11750</c:v>
                </c:pt>
                <c:pt idx="19">
                  <c:v>13000</c:v>
                </c:pt>
                <c:pt idx="20">
                  <c:v>17000</c:v>
                </c:pt>
                <c:pt idx="21">
                  <c:v>19250</c:v>
                </c:pt>
                <c:pt idx="22">
                  <c:v>19300</c:v>
                </c:pt>
                <c:pt idx="23">
                  <c:v>17500</c:v>
                </c:pt>
                <c:pt idx="24">
                  <c:v>15000</c:v>
                </c:pt>
                <c:pt idx="25">
                  <c:v>13300</c:v>
                </c:pt>
                <c:pt idx="26">
                  <c:v>15215</c:v>
                </c:pt>
                <c:pt idx="27">
                  <c:v>16850</c:v>
                </c:pt>
                <c:pt idx="28">
                  <c:v>18000</c:v>
                </c:pt>
                <c:pt idx="29">
                  <c:v>25500</c:v>
                </c:pt>
                <c:pt idx="30">
                  <c:v>17000</c:v>
                </c:pt>
                <c:pt idx="31">
                  <c:v>17500</c:v>
                </c:pt>
                <c:pt idx="32">
                  <c:v>25000</c:v>
                </c:pt>
                <c:pt idx="33">
                  <c:v>25000</c:v>
                </c:pt>
                <c:pt idx="34">
                  <c:v>27000</c:v>
                </c:pt>
                <c:pt idx="35">
                  <c:v>27500</c:v>
                </c:pt>
                <c:pt idx="36">
                  <c:v>29000</c:v>
                </c:pt>
                <c:pt idx="37">
                  <c:v>26000</c:v>
                </c:pt>
                <c:pt idx="38">
                  <c:v>28000</c:v>
                </c:pt>
                <c:pt idx="39">
                  <c:v>28000</c:v>
                </c:pt>
                <c:pt idx="40">
                  <c:v>25000</c:v>
                </c:pt>
                <c:pt idx="41">
                  <c:v>24100</c:v>
                </c:pt>
                <c:pt idx="42">
                  <c:v>22500</c:v>
                </c:pt>
                <c:pt idx="43">
                  <c:v>23000</c:v>
                </c:pt>
                <c:pt idx="44">
                  <c:v>25500</c:v>
                </c:pt>
                <c:pt idx="45">
                  <c:v>24500</c:v>
                </c:pt>
                <c:pt idx="46">
                  <c:v>25500</c:v>
                </c:pt>
                <c:pt idx="47">
                  <c:v>28000</c:v>
                </c:pt>
                <c:pt idx="48">
                  <c:v>27000</c:v>
                </c:pt>
                <c:pt idx="49">
                  <c:v>26500</c:v>
                </c:pt>
                <c:pt idx="50">
                  <c:v>28500</c:v>
                </c:pt>
                <c:pt idx="51">
                  <c:v>28500</c:v>
                </c:pt>
                <c:pt idx="52">
                  <c:v>29000</c:v>
                </c:pt>
                <c:pt idx="53">
                  <c:v>31500</c:v>
                </c:pt>
                <c:pt idx="54">
                  <c:v>32500</c:v>
                </c:pt>
                <c:pt idx="55">
                  <c:v>36000</c:v>
                </c:pt>
                <c:pt idx="56">
                  <c:v>37000</c:v>
                </c:pt>
                <c:pt idx="57">
                  <c:v>49000</c:v>
                </c:pt>
                <c:pt idx="58">
                  <c:v>50000</c:v>
                </c:pt>
                <c:pt idx="59">
                  <c:v>48000</c:v>
                </c:pt>
                <c:pt idx="60">
                  <c:v>49000</c:v>
                </c:pt>
                <c:pt idx="61">
                  <c:v>47350</c:v>
                </c:pt>
                <c:pt idx="62">
                  <c:v>48000</c:v>
                </c:pt>
                <c:pt idx="63">
                  <c:v>41750</c:v>
                </c:pt>
                <c:pt idx="64">
                  <c:v>50000</c:v>
                </c:pt>
                <c:pt idx="65">
                  <c:v>50700</c:v>
                </c:pt>
                <c:pt idx="66">
                  <c:v>46000</c:v>
                </c:pt>
                <c:pt idx="67">
                  <c:v>47000</c:v>
                </c:pt>
                <c:pt idx="68">
                  <c:v>46000</c:v>
                </c:pt>
                <c:pt idx="69">
                  <c:v>47000</c:v>
                </c:pt>
                <c:pt idx="70">
                  <c:v>37700</c:v>
                </c:pt>
                <c:pt idx="71">
                  <c:v>42000</c:v>
                </c:pt>
                <c:pt idx="72">
                  <c:v>41750</c:v>
                </c:pt>
                <c:pt idx="73">
                  <c:v>40405</c:v>
                </c:pt>
                <c:pt idx="74">
                  <c:v>39500</c:v>
                </c:pt>
                <c:pt idx="75">
                  <c:v>39850</c:v>
                </c:pt>
                <c:pt idx="76">
                  <c:v>37425</c:v>
                </c:pt>
                <c:pt idx="77">
                  <c:v>40500</c:v>
                </c:pt>
                <c:pt idx="78">
                  <c:v>37240</c:v>
                </c:pt>
                <c:pt idx="79">
                  <c:v>36325</c:v>
                </c:pt>
                <c:pt idx="80">
                  <c:v>34295</c:v>
                </c:pt>
                <c:pt idx="81">
                  <c:v>40425</c:v>
                </c:pt>
                <c:pt idx="82">
                  <c:v>34625</c:v>
                </c:pt>
                <c:pt idx="83">
                  <c:v>31700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6C-2947-ABEF-A5229377D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691904"/>
        <c:axId val="163775616"/>
      </c:lineChart>
      <c:dateAx>
        <c:axId val="16369190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9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63775616"/>
        <c:crosses val="autoZero"/>
        <c:auto val="1"/>
        <c:lblOffset val="100"/>
        <c:baseTimeUnit val="months"/>
      </c:dateAx>
      <c:valAx>
        <c:axId val="163775616"/>
        <c:scaling>
          <c:orientation val="minMax"/>
          <c:max val="60000"/>
          <c:min val="0"/>
        </c:scaling>
        <c:delete val="0"/>
        <c:axPos val="l"/>
        <c:majorGridlines/>
        <c:minorGridlines/>
        <c:numFmt formatCode="#,##0\ &quot;€&quot;" sourceLinked="1"/>
        <c:majorTickMark val="out"/>
        <c:minorTickMark val="none"/>
        <c:tickLblPos val="nextTo"/>
        <c:crossAx val="163691904"/>
        <c:crosses val="autoZero"/>
        <c:crossBetween val="between"/>
        <c:majorUnit val="2000"/>
        <c:minorUnit val="500"/>
      </c:valAx>
    </c:plotArea>
    <c:legend>
      <c:legendPos val="r"/>
      <c:layout>
        <c:manualLayout>
          <c:xMode val="edge"/>
          <c:yMode val="edge"/>
          <c:x val="0.8944954598408672"/>
          <c:y val="0.42516268980477567"/>
          <c:w val="7.2700186219739324E-2"/>
          <c:h val="0.13517128830220071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1" spc="-1">
                <a:solidFill>
                  <a:srgbClr val="000000"/>
                </a:solidFill>
                <a:latin typeface="Calibri"/>
              </a:defRPr>
            </a:pPr>
            <a:r>
              <a:rPr lang="es-ES" sz="1800" b="1" spc="-1">
                <a:solidFill>
                  <a:srgbClr val="000000"/>
                </a:solidFill>
                <a:latin typeface="Calibri"/>
              </a:rPr>
              <a:t>Ingresos - Gastos Anuales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spPr>
            <a:ln w="28440">
              <a:solidFill>
                <a:srgbClr val="BE4B48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BE4B48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Graficos!$C$5:$AA$5</c:f>
              <c:numCache>
                <c:formatCode>General</c:formatCode>
                <c:ptCount val="2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</c:numCache>
            </c:numRef>
          </c:cat>
          <c:val>
            <c:numRef>
              <c:f>Graficos!$C$7:$AA$7</c:f>
              <c:numCache>
                <c:formatCode>_-* #,##0.00\ [$€-1]_-;\-* #,##0.00\ [$€-1]_-</c:formatCode>
                <c:ptCount val="25"/>
                <c:pt idx="0">
                  <c:v>5339.99</c:v>
                </c:pt>
                <c:pt idx="1">
                  <c:v>4318.2700000000004</c:v>
                </c:pt>
                <c:pt idx="2">
                  <c:v>4946.33</c:v>
                </c:pt>
                <c:pt idx="3">
                  <c:v>9177.4500000000007</c:v>
                </c:pt>
                <c:pt idx="4">
                  <c:v>10920.39</c:v>
                </c:pt>
                <c:pt idx="5">
                  <c:v>11467.31</c:v>
                </c:pt>
                <c:pt idx="6">
                  <c:v>12218.58</c:v>
                </c:pt>
                <c:pt idx="7">
                  <c:v>11719.74</c:v>
                </c:pt>
                <c:pt idx="8">
                  <c:v>14328.13</c:v>
                </c:pt>
                <c:pt idx="9">
                  <c:v>14003.58</c:v>
                </c:pt>
                <c:pt idx="10" formatCode="#,##0.00\ [$€-1]">
                  <c:v>14997</c:v>
                </c:pt>
                <c:pt idx="11" formatCode="#,##0.00\ [$€-1]">
                  <c:v>19500</c:v>
                </c:pt>
                <c:pt idx="12" formatCode="#,##0.00\ [$€-1]">
                  <c:v>21996</c:v>
                </c:pt>
                <c:pt idx="13" formatCode="#,##0.00\ [$€-1]">
                  <c:v>19294</c:v>
                </c:pt>
                <c:pt idx="14" formatCode="#,##0.00\ [$€-1]">
                  <c:v>27015</c:v>
                </c:pt>
                <c:pt idx="15" formatCode="#,##0.00\ [$€-1]">
                  <c:v>23585</c:v>
                </c:pt>
                <c:pt idx="16" formatCode="#,##0.00\ [$€-1]">
                  <c:v>23200</c:v>
                </c:pt>
                <c:pt idx="17" formatCode="#,##0.00\ [$€-1]">
                  <c:v>29780</c:v>
                </c:pt>
                <c:pt idx="18" formatCode="#,##0.00\ [$€-1]">
                  <c:v>44265</c:v>
                </c:pt>
                <c:pt idx="19" formatCode="#,##0.00\ [$€-1]">
                  <c:v>39830</c:v>
                </c:pt>
                <c:pt idx="20" formatCode="#,##0.00\ [$€-1]">
                  <c:v>26570</c:v>
                </c:pt>
                <c:pt idx="21" formatCode="#,##0.00\ [$€-1]">
                  <c:v>28635</c:v>
                </c:pt>
                <c:pt idx="22" formatCode="#,##0.00\ [$€-1]">
                  <c:v>30135</c:v>
                </c:pt>
                <c:pt idx="23" formatCode="#,##0.00\ [$€-1]">
                  <c:v>33140</c:v>
                </c:pt>
                <c:pt idx="24" formatCode="#,##0.00\ [$€-1]">
                  <c:v>24200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D-BB4F-B2A6-5D9075C0A811}"/>
            </c:ext>
          </c:extLst>
        </c:ser>
        <c:ser>
          <c:idx val="1"/>
          <c:order val="1"/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Graficos!$C$5:$AA$5</c:f>
              <c:numCache>
                <c:formatCode>General</c:formatCode>
                <c:ptCount val="2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</c:numCache>
            </c:numRef>
          </c:cat>
          <c:val>
            <c:numRef>
              <c:f>Graficos!$C$6:$AA$6</c:f>
              <c:numCache>
                <c:formatCode>_-* #,##0.00\ [$€-1]_-;\-* #,##0.00\ [$€-1]_-</c:formatCode>
                <c:ptCount val="25"/>
                <c:pt idx="0">
                  <c:v>5190.9399999999996</c:v>
                </c:pt>
                <c:pt idx="1">
                  <c:v>4297.24</c:v>
                </c:pt>
                <c:pt idx="2">
                  <c:v>5736.06</c:v>
                </c:pt>
                <c:pt idx="3">
                  <c:v>9315.69</c:v>
                </c:pt>
                <c:pt idx="4">
                  <c:v>9934.73</c:v>
                </c:pt>
                <c:pt idx="5">
                  <c:v>12278.68</c:v>
                </c:pt>
                <c:pt idx="6">
                  <c:v>12278.68</c:v>
                </c:pt>
                <c:pt idx="7">
                  <c:v>11629.58</c:v>
                </c:pt>
                <c:pt idx="8">
                  <c:v>14123.78</c:v>
                </c:pt>
                <c:pt idx="9">
                  <c:v>13522.77</c:v>
                </c:pt>
                <c:pt idx="10" formatCode="#,##0.00\ [$€-1]">
                  <c:v>16236</c:v>
                </c:pt>
                <c:pt idx="11" formatCode="#,##0.00\ [$€-1]">
                  <c:v>20900</c:v>
                </c:pt>
                <c:pt idx="12" formatCode="#,##0.00\ [$€-1]">
                  <c:v>25595</c:v>
                </c:pt>
                <c:pt idx="13" formatCode="#,##0.00\ [$€-1]">
                  <c:v>29655</c:v>
                </c:pt>
                <c:pt idx="14" formatCode="#,##0.00\ [$€-1]">
                  <c:v>38875</c:v>
                </c:pt>
                <c:pt idx="15" formatCode="#,##0.00\ [$€-1]">
                  <c:v>34850</c:v>
                </c:pt>
                <c:pt idx="16" formatCode="#,##0.00\ [$€-1]">
                  <c:v>26575</c:v>
                </c:pt>
                <c:pt idx="17" formatCode="#,##0.00\ [$€-1]">
                  <c:v>26700</c:v>
                </c:pt>
                <c:pt idx="18" formatCode="#,##0.00\ [$€-1]">
                  <c:v>56950</c:v>
                </c:pt>
                <c:pt idx="19" formatCode="#,##0.00\ [$€-1]">
                  <c:v>41080</c:v>
                </c:pt>
                <c:pt idx="20" formatCode="#,##0.00\ [$€-1]">
                  <c:v>19720</c:v>
                </c:pt>
                <c:pt idx="21" formatCode="#,##0.00\ [$€-1]">
                  <c:v>24845</c:v>
                </c:pt>
                <c:pt idx="22" formatCode="#,##0.00\ [$€-1]">
                  <c:v>25875</c:v>
                </c:pt>
                <c:pt idx="23" formatCode="#,##0.00\ [$€-1]">
                  <c:v>27865</c:v>
                </c:pt>
                <c:pt idx="24" formatCode="#,##0.00\ [$€-1]">
                  <c:v>29035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D-BB4F-B2A6-5D9075C0A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  <a:prstDash val="solid"/>
            </a:ln>
          </c:spPr>
        </c:hiLowLines>
        <c:marker val="1"/>
        <c:smooth val="0"/>
        <c:axId val="22310911"/>
        <c:axId val="21035437"/>
      </c:lineChart>
      <c:catAx>
        <c:axId val="223109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1035437"/>
        <c:crosses val="autoZero"/>
        <c:auto val="1"/>
        <c:lblAlgn val="ctr"/>
        <c:lblOffset val="100"/>
        <c:noMultiLvlLbl val="1"/>
      </c:catAx>
      <c:valAx>
        <c:axId val="21035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minorGridlines>
          <c:spPr>
            <a:ln w="9360">
              <a:solidFill>
                <a:srgbClr val="C1D1EC"/>
              </a:solidFill>
              <a:prstDash val="solid"/>
              <a:round/>
            </a:ln>
          </c:spPr>
        </c:minorGridlines>
        <c:numFmt formatCode="_-* #.##000\ [$€-1]_-;\-* #.##000\ [$€-1]_-" sourceLinked="0"/>
        <c:majorTickMark val="none"/>
        <c:minorTickMark val="in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2310911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</c:legend>
    <c:plotVisOnly val="1"/>
    <c:dispBlanksAs val="zero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1" spc="-1">
                <a:solidFill>
                  <a:srgbClr val="000000"/>
                </a:solidFill>
                <a:latin typeface="Calibri"/>
              </a:defRPr>
            </a:pPr>
            <a:r>
              <a:rPr lang="es-ES" sz="1800" b="1" spc="-1">
                <a:solidFill>
                  <a:srgbClr val="000000"/>
                </a:solidFill>
                <a:latin typeface="Calibri"/>
              </a:rPr>
              <a:t>Ingresos - Gastos Anuales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spPr>
            <a:ln>
              <a:prstDash val="solid"/>
            </a:ln>
          </c:spPr>
          <c:marker>
            <c:symbol val="square"/>
            <c:size val="5"/>
            <c:spPr>
              <a:solidFill>
                <a:srgbClr val="BE4B48"/>
              </a:solidFill>
              <a:ln>
                <a:prstDash val="solid"/>
              </a:ln>
            </c:spPr>
          </c:marker>
          <c:cat>
            <c:numRef>
              <c:f>Graficos!$M$10:$V$10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Graficos!$M$12:$V$12</c:f>
              <c:numCache>
                <c:formatCode>#,##0.00\ [$€-1]</c:formatCode>
                <c:ptCount val="10"/>
                <c:pt idx="0">
                  <c:v>36075</c:v>
                </c:pt>
                <c:pt idx="1">
                  <c:v>27740</c:v>
                </c:pt>
                <c:pt idx="2">
                  <c:v>34135</c:v>
                </c:pt>
                <c:pt idx="3">
                  <c:v>29100</c:v>
                </c:pt>
                <c:pt idx="4">
                  <c:v>27695</c:v>
                </c:pt>
                <c:pt idx="5">
                  <c:v>31025</c:v>
                </c:pt>
                <c:pt idx="6">
                  <c:v>38670</c:v>
                </c:pt>
                <c:pt idx="7">
                  <c:v>46435</c:v>
                </c:pt>
                <c:pt idx="8">
                  <c:v>48705</c:v>
                </c:pt>
                <c:pt idx="9">
                  <c:v>48600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E-AD42-B39C-7997E82C70E1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square"/>
            <c:size val="5"/>
            <c:spPr>
              <a:solidFill>
                <a:srgbClr val="BE4B48"/>
              </a:solidFill>
              <a:ln>
                <a:prstDash val="solid"/>
              </a:ln>
            </c:spPr>
          </c:marker>
          <c:cat>
            <c:numRef>
              <c:f>Graficos!$M$10:$V$10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Graficos!$M$11:$V$11</c:f>
              <c:numCache>
                <c:formatCode>#,##0.00\ [$€-1]</c:formatCode>
                <c:ptCount val="10"/>
                <c:pt idx="0">
                  <c:v>31595</c:v>
                </c:pt>
                <c:pt idx="1">
                  <c:v>31265</c:v>
                </c:pt>
                <c:pt idx="2">
                  <c:v>31750</c:v>
                </c:pt>
                <c:pt idx="3">
                  <c:v>31575</c:v>
                </c:pt>
                <c:pt idx="4">
                  <c:v>32245</c:v>
                </c:pt>
                <c:pt idx="5">
                  <c:v>35815</c:v>
                </c:pt>
                <c:pt idx="6">
                  <c:v>37330</c:v>
                </c:pt>
                <c:pt idx="7">
                  <c:v>37980</c:v>
                </c:pt>
                <c:pt idx="8">
                  <c:v>44150</c:v>
                </c:pt>
                <c:pt idx="9">
                  <c:v>46200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3E-AD42-B39C-7997E82C7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  <a:prstDash val="solid"/>
            </a:ln>
          </c:spPr>
        </c:hiLowLines>
        <c:marker val="1"/>
        <c:smooth val="0"/>
        <c:axId val="22310911"/>
        <c:axId val="21035437"/>
      </c:lineChart>
      <c:catAx>
        <c:axId val="223109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1035437"/>
        <c:crosses val="autoZero"/>
        <c:auto val="1"/>
        <c:lblAlgn val="ctr"/>
        <c:lblOffset val="100"/>
        <c:noMultiLvlLbl val="1"/>
      </c:catAx>
      <c:valAx>
        <c:axId val="21035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minorGridlines>
          <c:spPr>
            <a:ln w="9360">
              <a:solidFill>
                <a:srgbClr val="C1D1EC"/>
              </a:solidFill>
              <a:prstDash val="solid"/>
              <a:round/>
            </a:ln>
          </c:spPr>
        </c:minorGridlines>
        <c:numFmt formatCode="_-* #.##000\ [$€-1]_-;\-* #.##000\ [$€-1]_-" sourceLinked="0"/>
        <c:majorTickMark val="none"/>
        <c:minorTickMark val="in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2310911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</c:legend>
    <c:plotVisOnly val="1"/>
    <c:dispBlanksAs val="zero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426943</xdr:colOff>
      <xdr:row>13</xdr:row>
      <xdr:rowOff>93569</xdr:rowOff>
    </xdr:from>
    <xdr:to>
      <xdr:col>22</xdr:col>
      <xdr:colOff>874889</xdr:colOff>
      <xdr:row>34</xdr:row>
      <xdr:rowOff>145676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2</xdr:row>
      <xdr:rowOff>152400</xdr:rowOff>
    </xdr:from>
    <xdr:to>
      <xdr:col>21</xdr:col>
      <xdr:colOff>705556</xdr:colOff>
      <xdr:row>35</xdr:row>
      <xdr:rowOff>10583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65160</xdr:colOff>
      <xdr:row>12</xdr:row>
      <xdr:rowOff>103908</xdr:rowOff>
    </xdr:from>
    <xdr:to>
      <xdr:col>12</xdr:col>
      <xdr:colOff>115455</xdr:colOff>
      <xdr:row>40</xdr:row>
      <xdr:rowOff>133559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342250</xdr:colOff>
      <xdr:row>14</xdr:row>
      <xdr:rowOff>80818</xdr:rowOff>
    </xdr:from>
    <xdr:to>
      <xdr:col>23</xdr:col>
      <xdr:colOff>634999</xdr:colOff>
      <xdr:row>42</xdr:row>
      <xdr:rowOff>110469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553591</xdr:colOff>
      <xdr:row>29</xdr:row>
      <xdr:rowOff>152986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742950"/>
          <a:ext cx="8173591" cy="42011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14</xdr:col>
      <xdr:colOff>409575</xdr:colOff>
      <xdr:row>45</xdr:row>
      <xdr:rowOff>23424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0" y="4953000"/>
          <a:ext cx="7267575" cy="245229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38100</xdr:colOff>
      <xdr:row>16</xdr:row>
      <xdr:rowOff>66675</xdr:rowOff>
    </xdr:from>
    <xdr:to>
      <xdr:col>15</xdr:col>
      <xdr:colOff>704850</xdr:colOff>
      <xdr:row>29</xdr:row>
      <xdr:rowOff>20504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8600" y="2752725"/>
          <a:ext cx="3714750" cy="205885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131760</xdr:colOff>
      <xdr:row>2</xdr:row>
      <xdr:rowOff>10080</xdr:rowOff>
    </xdr:from>
    <xdr:to>
      <xdr:col>42</xdr:col>
      <xdr:colOff>55080</xdr:colOff>
      <xdr:row>35</xdr:row>
      <xdr:rowOff>9720</xdr:rowOff>
    </xdr:to>
    <xdr:pic>
      <xdr:nvPicPr>
        <xdr:cNvPr id="60" name="Picture 1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PicPr/>
      </xdr:nvPicPr>
      <xdr:blipFill>
        <a:blip xmlns:r="http://schemas.openxmlformats.org/officeDocument/2006/relationships" r:embed="rId1"/>
        <a:srcRect l="35548" t="20216" r="36720" b="24999"/>
        <a:stretch>
          <a:fillRect/>
        </a:stretch>
      </xdr:blipFill>
      <xdr:spPr>
        <a:xfrm>
          <a:off x="10913760" y="333720"/>
          <a:ext cx="3485880" cy="534312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10</xdr:col>
      <xdr:colOff>84240</xdr:colOff>
      <xdr:row>35</xdr:row>
      <xdr:rowOff>57600</xdr:rowOff>
    </xdr:from>
    <xdr:to>
      <xdr:col>20</xdr:col>
      <xdr:colOff>255240</xdr:colOff>
      <xdr:row>68</xdr:row>
      <xdr:rowOff>57240</xdr:rowOff>
    </xdr:to>
    <xdr:pic>
      <xdr:nvPicPr>
        <xdr:cNvPr id="61" name="Picture 2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PicPr/>
      </xdr:nvPicPr>
      <xdr:blipFill>
        <a:blip xmlns:r="http://schemas.openxmlformats.org/officeDocument/2006/relationships" r:embed="rId2"/>
        <a:srcRect l="2196" t="5318" r="2465" b="6886"/>
        <a:stretch>
          <a:fillRect/>
        </a:stretch>
      </xdr:blipFill>
      <xdr:spPr>
        <a:xfrm>
          <a:off x="4065480" y="5724720"/>
          <a:ext cx="3409560" cy="534312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20</xdr:col>
      <xdr:colOff>284040</xdr:colOff>
      <xdr:row>35</xdr:row>
      <xdr:rowOff>48240</xdr:rowOff>
    </xdr:from>
    <xdr:to>
      <xdr:col>31</xdr:col>
      <xdr:colOff>140760</xdr:colOff>
      <xdr:row>68</xdr:row>
      <xdr:rowOff>38520</xdr:rowOff>
    </xdr:to>
    <xdr:pic>
      <xdr:nvPicPr>
        <xdr:cNvPr id="62" name="Picture 3"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PicPr/>
      </xdr:nvPicPr>
      <xdr:blipFill>
        <a:blip xmlns:r="http://schemas.openxmlformats.org/officeDocument/2006/relationships" r:embed="rId3"/>
        <a:srcRect l="2196" t="5632" r="2465" b="6726"/>
        <a:stretch>
          <a:fillRect/>
        </a:stretch>
      </xdr:blipFill>
      <xdr:spPr>
        <a:xfrm>
          <a:off x="7503840" y="5715360"/>
          <a:ext cx="3418920" cy="5333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20</xdr:col>
      <xdr:colOff>227160</xdr:colOff>
      <xdr:row>2</xdr:row>
      <xdr:rowOff>38520</xdr:rowOff>
    </xdr:from>
    <xdr:to>
      <xdr:col>31</xdr:col>
      <xdr:colOff>93600</xdr:colOff>
      <xdr:row>35</xdr:row>
      <xdr:rowOff>28800</xdr:rowOff>
    </xdr:to>
    <xdr:pic>
      <xdr:nvPicPr>
        <xdr:cNvPr id="63" name="Picture 4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PicPr/>
      </xdr:nvPicPr>
      <xdr:blipFill>
        <a:blip xmlns:r="http://schemas.openxmlformats.org/officeDocument/2006/relationships" r:embed="rId4"/>
        <a:srcRect l="1916" t="5632" r="2465" b="6726"/>
        <a:stretch>
          <a:fillRect/>
        </a:stretch>
      </xdr:blipFill>
      <xdr:spPr>
        <a:xfrm>
          <a:off x="7446960" y="362160"/>
          <a:ext cx="3428640" cy="5333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10</xdr:col>
      <xdr:colOff>46080</xdr:colOff>
      <xdr:row>2</xdr:row>
      <xdr:rowOff>29160</xdr:rowOff>
    </xdr:from>
    <xdr:to>
      <xdr:col>20</xdr:col>
      <xdr:colOff>207720</xdr:colOff>
      <xdr:row>35</xdr:row>
      <xdr:rowOff>38160</xdr:rowOff>
    </xdr:to>
    <xdr:pic>
      <xdr:nvPicPr>
        <xdr:cNvPr id="64" name="Picture 5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PicPr/>
      </xdr:nvPicPr>
      <xdr:blipFill>
        <a:blip xmlns:r="http://schemas.openxmlformats.org/officeDocument/2006/relationships" r:embed="rId5"/>
        <a:srcRect l="2465" t="5318" r="2465" b="6726"/>
        <a:stretch>
          <a:fillRect/>
        </a:stretch>
      </xdr:blipFill>
      <xdr:spPr>
        <a:xfrm>
          <a:off x="4027320" y="352800"/>
          <a:ext cx="3400200" cy="5352480"/>
        </a:xfrm>
        <a:prstGeom prst="rect">
          <a:avLst/>
        </a:prstGeom>
        <a:ln>
          <a:noFill/>
          <a:prstDash val="solid"/>
        </a:ln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12</v>
    <v>1</v>
  </rv>
  <rv s="1">
    <v>12</v>
    <v>Currency</v>
    <v>0</v>
  </rv>
  <rv s="1">
    <v>12</v>
    <v>Price</v>
    <v>0</v>
  </rv>
  <rv s="1">
    <v>12</v>
    <v>Ticker symbol</v>
    <v>0</v>
  </rv>
  <rv s="1">
    <v>12</v>
    <v>Símbolo bursátil</v>
    <v>0</v>
  </rv>
  <rv s="1">
    <v>12</v>
    <v>Precio</v>
    <v>0</v>
  </rv>
  <rv s="1">
    <v>12</v>
    <v>Instrument type</v>
    <v>0</v>
  </rv>
  <rv s="1">
    <v>12</v>
    <v>Exchange abbreviation</v>
    <v>0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yahoo.com/quote/AZN.L?p=AZN.L" TargetMode="External"/><Relationship Id="rId18" Type="http://schemas.openxmlformats.org/officeDocument/2006/relationships/hyperlink" Target="https://finance.yahoo.com/quote/IRM?p=IRM" TargetMode="External"/><Relationship Id="rId26" Type="http://schemas.openxmlformats.org/officeDocument/2006/relationships/hyperlink" Target="https://finance.yahoo.com/quote/T?p=T" TargetMode="External"/><Relationship Id="rId21" Type="http://schemas.openxmlformats.org/officeDocument/2006/relationships/hyperlink" Target="https://finance.yahoo.com/quote/KMI?p=KMI" TargetMode="External"/><Relationship Id="rId34" Type="http://schemas.openxmlformats.org/officeDocument/2006/relationships/hyperlink" Target="https://finance.yahoo.com/quote/AVB?p=AVB" TargetMode="External"/><Relationship Id="rId7" Type="http://schemas.openxmlformats.org/officeDocument/2006/relationships/hyperlink" Target="https://finance.yahoo.com/quote/JPEA?p=JPEA" TargetMode="External"/><Relationship Id="rId12" Type="http://schemas.openxmlformats.org/officeDocument/2006/relationships/hyperlink" Target="https://finance.yahoo.com/quote/MC.PA?p=MC.PA" TargetMode="External"/><Relationship Id="rId17" Type="http://schemas.openxmlformats.org/officeDocument/2006/relationships/hyperlink" Target="https://finance.yahoo.com/quote/NOVO%20B?p=NOVO%20B" TargetMode="External"/><Relationship Id="rId25" Type="http://schemas.openxmlformats.org/officeDocument/2006/relationships/hyperlink" Target="https://finance.yahoo.com/quote/PBCT?p=PBCT" TargetMode="External"/><Relationship Id="rId33" Type="http://schemas.openxmlformats.org/officeDocument/2006/relationships/hyperlink" Target="https://finance.yahoo.com/quote/WELL?p=WELL" TargetMode="External"/><Relationship Id="rId2" Type="http://schemas.openxmlformats.org/officeDocument/2006/relationships/hyperlink" Target="https://es.finance.yahoo.com/portfolio/pf_56cf7270_f080_4bdc_9092_c_p_0/view/v2" TargetMode="External"/><Relationship Id="rId16" Type="http://schemas.openxmlformats.org/officeDocument/2006/relationships/hyperlink" Target="https://finance.yahoo.com/quote/LIN.L?p=LIN.L" TargetMode="External"/><Relationship Id="rId20" Type="http://schemas.openxmlformats.org/officeDocument/2006/relationships/hyperlink" Target="https://finance.yahoo.com/quote/LUMN?p=LUMN" TargetMode="External"/><Relationship Id="rId29" Type="http://schemas.openxmlformats.org/officeDocument/2006/relationships/hyperlink" Target="https://finance.yahoo.com/quote/PSA?p=PSA" TargetMode="External"/><Relationship Id="rId1" Type="http://schemas.openxmlformats.org/officeDocument/2006/relationships/hyperlink" Target="https://www.google.com/finance/" TargetMode="External"/><Relationship Id="rId6" Type="http://schemas.openxmlformats.org/officeDocument/2006/relationships/hyperlink" Target="https://finance.yahoo.com/quote/XZW0?p=XZW0" TargetMode="External"/><Relationship Id="rId11" Type="http://schemas.openxmlformats.org/officeDocument/2006/relationships/hyperlink" Target="https://finance.yahoo.com/quote/NOVN?p=NOVN" TargetMode="External"/><Relationship Id="rId24" Type="http://schemas.openxmlformats.org/officeDocument/2006/relationships/hyperlink" Target="https://finance.yahoo.com/quote/CVX?p=CVX" TargetMode="External"/><Relationship Id="rId32" Type="http://schemas.openxmlformats.org/officeDocument/2006/relationships/hyperlink" Target="https://finance.yahoo.com/quote/VNA.DE?p=VNA.DE" TargetMode="External"/><Relationship Id="rId37" Type="http://schemas.openxmlformats.org/officeDocument/2006/relationships/hyperlink" Target="https://finance.yahoo.com/quote/O?p=O" TargetMode="External"/><Relationship Id="rId5" Type="http://schemas.openxmlformats.org/officeDocument/2006/relationships/hyperlink" Target="https://finance.yahoo.com/quote/LWCR.IR?p=LWCR.IR" TargetMode="External"/><Relationship Id="rId15" Type="http://schemas.openxmlformats.org/officeDocument/2006/relationships/hyperlink" Target="https://finance.yahoo.com/quote/ULVR.L?p=ULVR.L" TargetMode="External"/><Relationship Id="rId23" Type="http://schemas.openxmlformats.org/officeDocument/2006/relationships/hyperlink" Target="https://finance.yahoo.com/quote/PM?p=PM" TargetMode="External"/><Relationship Id="rId28" Type="http://schemas.openxmlformats.org/officeDocument/2006/relationships/hyperlink" Target="https://finance.yahoo.com/quote/PLD?p=PLD" TargetMode="External"/><Relationship Id="rId36" Type="http://schemas.openxmlformats.org/officeDocument/2006/relationships/hyperlink" Target="https://finance.yahoo.com/quote/ARE?p=ARE" TargetMode="External"/><Relationship Id="rId10" Type="http://schemas.openxmlformats.org/officeDocument/2006/relationships/hyperlink" Target="https://finance.yahoo.com/quote/ROG?p=ROG" TargetMode="External"/><Relationship Id="rId19" Type="http://schemas.openxmlformats.org/officeDocument/2006/relationships/hyperlink" Target="https://finance.yahoo.com/quote/XOM?p=XOM" TargetMode="External"/><Relationship Id="rId31" Type="http://schemas.openxmlformats.org/officeDocument/2006/relationships/hyperlink" Target="https://finance.yahoo.com/quote/DLR?p=DLR" TargetMode="External"/><Relationship Id="rId4" Type="http://schemas.openxmlformats.org/officeDocument/2006/relationships/hyperlink" Target="https://finance.yahoo.com/quote/IWDA?p=IWDA" TargetMode="External"/><Relationship Id="rId9" Type="http://schemas.openxmlformats.org/officeDocument/2006/relationships/hyperlink" Target="https://finance.yahoo.com/quote/ASML?p=ASML" TargetMode="External"/><Relationship Id="rId14" Type="http://schemas.openxmlformats.org/officeDocument/2006/relationships/hyperlink" Target="https://finance.yahoo.com/quote/SAP.DE?p=SAP.DE" TargetMode="External"/><Relationship Id="rId22" Type="http://schemas.openxmlformats.org/officeDocument/2006/relationships/hyperlink" Target="https://finance.yahoo.com/quote/MO?p=MO" TargetMode="External"/><Relationship Id="rId27" Type="http://schemas.openxmlformats.org/officeDocument/2006/relationships/hyperlink" Target="https://finance.yahoo.com/quote/IBM?p=IBM" TargetMode="External"/><Relationship Id="rId30" Type="http://schemas.openxmlformats.org/officeDocument/2006/relationships/hyperlink" Target="https://finance.yahoo.com/quote/SPG?p=SPG" TargetMode="External"/><Relationship Id="rId35" Type="http://schemas.openxmlformats.org/officeDocument/2006/relationships/hyperlink" Target="https://finance.yahoo.com/quote/EQR?p=EQR" TargetMode="External"/><Relationship Id="rId8" Type="http://schemas.openxmlformats.org/officeDocument/2006/relationships/hyperlink" Target="https://finance.yahoo.com/quote/NESN?p=NESN" TargetMode="External"/><Relationship Id="rId3" Type="http://schemas.openxmlformats.org/officeDocument/2006/relationships/hyperlink" Target="https://finance.yahoo.com/quote/XDWD.IR?p=XDWD.IR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9"/>
  <sheetViews>
    <sheetView showGridLines="0" workbookViewId="0">
      <selection activeCell="B14" sqref="B14"/>
    </sheetView>
  </sheetViews>
  <sheetFormatPr baseColWidth="10" defaultColWidth="8.83203125" defaultRowHeight="13"/>
  <cols>
    <col min="2" max="2" width="25" customWidth="1"/>
    <col min="3" max="25" width="6.6640625" bestFit="1" customWidth="1"/>
    <col min="26" max="27" width="5.83203125" bestFit="1" customWidth="1"/>
  </cols>
  <sheetData>
    <row r="2" spans="2:27" ht="20">
      <c r="B2" s="1007" t="s">
        <v>57</v>
      </c>
    </row>
    <row r="4" spans="2:27" ht="16">
      <c r="B4" s="1011" t="s">
        <v>58</v>
      </c>
      <c r="C4" s="1012">
        <f>Principal!C3</f>
        <v>2003</v>
      </c>
      <c r="D4" s="1012">
        <f>Principal!D3</f>
        <v>2004</v>
      </c>
      <c r="E4" s="1012">
        <f>Principal!E3</f>
        <v>2005</v>
      </c>
      <c r="F4" s="1012">
        <f>Principal!F3</f>
        <v>2006</v>
      </c>
      <c r="G4" s="1012">
        <f>Principal!G3</f>
        <v>2007</v>
      </c>
      <c r="H4" s="1012">
        <f>Principal!H3</f>
        <v>2008</v>
      </c>
      <c r="I4" s="1012">
        <f>Principal!I3</f>
        <v>2009</v>
      </c>
      <c r="J4" s="1012">
        <f>Principal!J3</f>
        <v>2010</v>
      </c>
      <c r="K4" s="1012">
        <f>Principal!K3</f>
        <v>2011</v>
      </c>
      <c r="L4" s="1012">
        <f>Principal!L3</f>
        <v>2012</v>
      </c>
      <c r="M4" s="1012">
        <f>Principal!M3</f>
        <v>2013</v>
      </c>
      <c r="N4" s="1012">
        <f>Principal!N3</f>
        <v>2014</v>
      </c>
      <c r="O4" s="1012">
        <f>Principal!O3</f>
        <v>2015</v>
      </c>
      <c r="P4" s="1012">
        <f>Principal!P3</f>
        <v>2016</v>
      </c>
      <c r="Q4" s="1012">
        <f>Principal!Q3</f>
        <v>2017</v>
      </c>
      <c r="R4" s="1012">
        <f>Principal!R3</f>
        <v>2018</v>
      </c>
      <c r="S4" s="1012">
        <f>Principal!S3</f>
        <v>2019</v>
      </c>
      <c r="T4" s="1012">
        <f>Principal!T3</f>
        <v>2020</v>
      </c>
      <c r="U4" s="1012">
        <f>Principal!U3</f>
        <v>2021</v>
      </c>
      <c r="V4" s="1012">
        <f>Principal!V3</f>
        <v>2022</v>
      </c>
      <c r="W4" s="1012">
        <f>Principal!W3</f>
        <v>2023</v>
      </c>
      <c r="X4" s="1012">
        <f>Principal!X3</f>
        <v>2024</v>
      </c>
      <c r="Y4" s="1012">
        <f>Principal!Y3</f>
        <v>2025</v>
      </c>
      <c r="Z4" s="1012">
        <f>Principal!Z3</f>
        <v>2026</v>
      </c>
      <c r="AA4" s="1012">
        <f>Principal!AA3</f>
        <v>2027</v>
      </c>
    </row>
    <row r="5" spans="2:27">
      <c r="B5" s="1008" t="s">
        <v>59</v>
      </c>
      <c r="C5" s="1009">
        <f>Principal!C13</f>
        <v>25595</v>
      </c>
      <c r="D5" s="1009">
        <f>Principal!D13</f>
        <v>29655</v>
      </c>
      <c r="E5" s="1009">
        <f>Principal!E13</f>
        <v>38875</v>
      </c>
      <c r="F5" s="1009">
        <f>Principal!F13</f>
        <v>34850</v>
      </c>
      <c r="G5" s="1009">
        <f>Principal!G13</f>
        <v>26575</v>
      </c>
      <c r="H5" s="1009">
        <f>Principal!H13</f>
        <v>26700</v>
      </c>
      <c r="I5" s="1009">
        <f>Principal!I13</f>
        <v>56950</v>
      </c>
      <c r="J5" s="1009">
        <f>Principal!J13</f>
        <v>41080</v>
      </c>
      <c r="K5" s="1009">
        <f>Principal!K13</f>
        <v>19720</v>
      </c>
      <c r="L5" s="1009">
        <f>Principal!L13</f>
        <v>24845</v>
      </c>
      <c r="M5" s="1009">
        <f>Principal!M13</f>
        <v>25875</v>
      </c>
      <c r="N5" s="1009">
        <f>Principal!N13</f>
        <v>27865</v>
      </c>
      <c r="O5" s="1009">
        <f>Principal!O13</f>
        <v>29035</v>
      </c>
      <c r="P5" s="1009">
        <f>Principal!P13</f>
        <v>31625</v>
      </c>
      <c r="Q5" s="1009">
        <f>Principal!Q13</f>
        <v>31265</v>
      </c>
      <c r="R5" s="1009">
        <f>Principal!R13</f>
        <v>31750</v>
      </c>
      <c r="S5" s="1009">
        <f>Principal!S13</f>
        <v>31575</v>
      </c>
      <c r="T5" s="1009">
        <f>Principal!T13</f>
        <v>32245</v>
      </c>
      <c r="U5" s="1009">
        <f>Principal!U13</f>
        <v>35815</v>
      </c>
      <c r="V5" s="1009">
        <f>Principal!V13</f>
        <v>37330</v>
      </c>
      <c r="W5" s="1009">
        <f>Principal!W13</f>
        <v>37980</v>
      </c>
      <c r="X5" s="1009">
        <f>Principal!X13</f>
        <v>44150</v>
      </c>
      <c r="Y5" s="1009">
        <f>Principal!Y13</f>
        <v>46200</v>
      </c>
      <c r="Z5" s="1009">
        <f>Principal!Z13</f>
        <v>0</v>
      </c>
      <c r="AA5" s="1009">
        <f>Principal!AA13</f>
        <v>0</v>
      </c>
    </row>
    <row r="6" spans="2:27">
      <c r="B6" s="1008" t="s">
        <v>60</v>
      </c>
      <c r="C6" s="1009">
        <f>Principal!C51</f>
        <v>21996</v>
      </c>
      <c r="D6" s="1009">
        <f>Principal!D51</f>
        <v>19294</v>
      </c>
      <c r="E6" s="1009">
        <f>Principal!E51</f>
        <v>27015</v>
      </c>
      <c r="F6" s="1009">
        <f>Principal!F51</f>
        <v>23585</v>
      </c>
      <c r="G6" s="1009">
        <f>Principal!G51</f>
        <v>23200</v>
      </c>
      <c r="H6" s="1009">
        <f>Principal!H51</f>
        <v>29780</v>
      </c>
      <c r="I6" s="1009">
        <f>Principal!I51</f>
        <v>44265</v>
      </c>
      <c r="J6" s="1009">
        <f>Principal!J51</f>
        <v>39830</v>
      </c>
      <c r="K6" s="1009">
        <f>Principal!K51</f>
        <v>26570</v>
      </c>
      <c r="L6" s="1009">
        <f>Principal!L51</f>
        <v>28635</v>
      </c>
      <c r="M6" s="1009">
        <f>Principal!M51</f>
        <v>30035</v>
      </c>
      <c r="N6" s="1009">
        <f>Principal!N51</f>
        <v>33140</v>
      </c>
      <c r="O6" s="1009">
        <f>Principal!O51</f>
        <v>24305</v>
      </c>
      <c r="P6" s="1009">
        <f>Principal!P51</f>
        <v>36100</v>
      </c>
      <c r="Q6" s="1009">
        <f>Principal!Q51</f>
        <v>27715</v>
      </c>
      <c r="R6" s="1009">
        <f>Principal!R51</f>
        <v>33930</v>
      </c>
      <c r="S6" s="1009">
        <f>Principal!S51</f>
        <v>29070</v>
      </c>
      <c r="T6" s="1009">
        <f>Principal!T51</f>
        <v>27695</v>
      </c>
      <c r="U6" s="1009">
        <f>Principal!U51</f>
        <v>31025</v>
      </c>
      <c r="V6" s="1009">
        <f>Principal!V51</f>
        <v>38670</v>
      </c>
      <c r="W6" s="1009">
        <f>Principal!W51</f>
        <v>46440</v>
      </c>
      <c r="X6" s="1009">
        <f>Principal!X51</f>
        <v>48668</v>
      </c>
      <c r="Y6" s="1009">
        <f>Principal!Y51</f>
        <v>48660</v>
      </c>
      <c r="Z6" s="1009">
        <f>Principal!Z51</f>
        <v>0</v>
      </c>
      <c r="AA6" s="1009">
        <f>Principal!AA51</f>
        <v>0</v>
      </c>
    </row>
    <row r="7" spans="2:27">
      <c r="B7" s="1013" t="s">
        <v>61</v>
      </c>
      <c r="C7" s="1014">
        <f>Principal!C58</f>
        <v>716</v>
      </c>
      <c r="D7" s="1014">
        <f>Principal!D58</f>
        <v>6158</v>
      </c>
      <c r="E7" s="1014">
        <f>Principal!E58</f>
        <v>11033</v>
      </c>
      <c r="F7" s="1014">
        <f>Principal!F58</f>
        <v>10435</v>
      </c>
      <c r="G7" s="1014">
        <f>Principal!G58</f>
        <v>2825</v>
      </c>
      <c r="H7" s="1014">
        <f>Principal!H58</f>
        <v>-5940</v>
      </c>
      <c r="I7" s="1014">
        <f>Principal!I58</f>
        <v>10935</v>
      </c>
      <c r="J7" s="1014">
        <f>Principal!J58</f>
        <v>1250</v>
      </c>
      <c r="K7" s="1014">
        <f>Principal!K58</f>
        <v>-6850</v>
      </c>
      <c r="L7" s="1014">
        <f>Principal!L58</f>
        <v>-3790</v>
      </c>
      <c r="M7" s="1014">
        <f>Principal!M58</f>
        <v>-4160</v>
      </c>
      <c r="N7" s="1014">
        <f>Principal!N58</f>
        <v>-5275</v>
      </c>
      <c r="O7" s="1014">
        <f>Principal!O58</f>
        <v>4730</v>
      </c>
      <c r="P7" s="1014">
        <f>Principal!P58</f>
        <v>-4475</v>
      </c>
      <c r="Q7" s="1014">
        <f>Principal!Q58</f>
        <v>3550</v>
      </c>
      <c r="R7" s="1014">
        <f>Principal!R58</f>
        <v>-2180</v>
      </c>
      <c r="S7" s="1014">
        <f>Principal!S58</f>
        <v>2505</v>
      </c>
      <c r="T7" s="1014">
        <f>Principal!T58</f>
        <v>4550</v>
      </c>
      <c r="U7" s="1014">
        <f>Principal!U58</f>
        <v>4790</v>
      </c>
      <c r="V7" s="1014">
        <f>Principal!V58</f>
        <v>-1340</v>
      </c>
      <c r="W7" s="1014">
        <f>Principal!W58</f>
        <v>-8460</v>
      </c>
      <c r="X7" s="1014">
        <f>Principal!X58</f>
        <v>-4518</v>
      </c>
      <c r="Y7" s="1014">
        <f>Principal!Y58</f>
        <v>-2460</v>
      </c>
      <c r="Z7" s="1014">
        <f>Principal!Z58</f>
        <v>0</v>
      </c>
      <c r="AA7" s="1014">
        <f>Principal!AA58</f>
        <v>0</v>
      </c>
    </row>
    <row r="9" spans="2:27">
      <c r="B9" s="1008" t="s">
        <v>62</v>
      </c>
      <c r="C9" s="1010">
        <f t="shared" ref="C9:AA9" si="0">IF(C5=0, 0, C7/C5)</f>
        <v>2.7974213713615942E-2</v>
      </c>
      <c r="D9" s="1010">
        <f t="shared" si="0"/>
        <v>0.20765469566683528</v>
      </c>
      <c r="E9" s="1010">
        <f t="shared" si="0"/>
        <v>0.28380707395498395</v>
      </c>
      <c r="F9" s="1010">
        <f t="shared" si="0"/>
        <v>0.29942611190817792</v>
      </c>
      <c r="G9" s="1010">
        <f t="shared" si="0"/>
        <v>0.10630291627469426</v>
      </c>
      <c r="H9" s="1010">
        <f t="shared" si="0"/>
        <v>-0.22247191011235956</v>
      </c>
      <c r="I9" s="1010">
        <f t="shared" si="0"/>
        <v>0.19201053555750658</v>
      </c>
      <c r="J9" s="1010">
        <f t="shared" si="0"/>
        <v>3.0428432327166504E-2</v>
      </c>
      <c r="K9" s="1010">
        <f t="shared" si="0"/>
        <v>-0.3473630831643002</v>
      </c>
      <c r="L9" s="1010">
        <f t="shared" si="0"/>
        <v>-0.15254578385993159</v>
      </c>
      <c r="M9" s="1010">
        <f t="shared" si="0"/>
        <v>-0.16077294685990337</v>
      </c>
      <c r="N9" s="1010">
        <f t="shared" si="0"/>
        <v>-0.18930558047730128</v>
      </c>
      <c r="O9" s="1010">
        <f t="shared" si="0"/>
        <v>0.16290683657654556</v>
      </c>
      <c r="P9" s="1010">
        <f t="shared" si="0"/>
        <v>-0.14150197628458497</v>
      </c>
      <c r="Q9" s="1010">
        <f t="shared" si="0"/>
        <v>0.11354549816088277</v>
      </c>
      <c r="R9" s="1010">
        <f t="shared" si="0"/>
        <v>-6.866141732283465E-2</v>
      </c>
      <c r="S9" s="1010">
        <f t="shared" si="0"/>
        <v>7.9334916864608071E-2</v>
      </c>
      <c r="T9" s="1010">
        <f t="shared" si="0"/>
        <v>0.14110714839510002</v>
      </c>
      <c r="U9" s="1010">
        <f t="shared" si="0"/>
        <v>0.13374284517660198</v>
      </c>
      <c r="V9" s="1010">
        <f t="shared" si="0"/>
        <v>-3.5896062148406106E-2</v>
      </c>
      <c r="W9" s="1010">
        <f t="shared" si="0"/>
        <v>-0.22274881516587677</v>
      </c>
      <c r="X9" s="1010">
        <f t="shared" si="0"/>
        <v>-0.10233295583238958</v>
      </c>
      <c r="Y9" s="1010">
        <f t="shared" si="0"/>
        <v>-5.3246753246753244E-2</v>
      </c>
      <c r="Z9" s="1010">
        <f t="shared" si="0"/>
        <v>0</v>
      </c>
      <c r="AA9" s="1010">
        <f t="shared" si="0"/>
        <v>0</v>
      </c>
    </row>
  </sheetData>
  <conditionalFormatting sqref="B2:AA9">
    <cfRule type="cellIs" dxfId="36" priority="1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E50"/>
  <sheetViews>
    <sheetView showGridLines="0" defaultGridColor="0" colorId="23" zoomScaleNormal="100" workbookViewId="0">
      <selection activeCell="V44" sqref="V44"/>
    </sheetView>
  </sheetViews>
  <sheetFormatPr baseColWidth="10" defaultColWidth="11.5" defaultRowHeight="13"/>
  <cols>
    <col min="1" max="1" width="4.83203125" customWidth="1"/>
    <col min="13" max="13" width="12" bestFit="1" customWidth="1"/>
    <col min="14" max="28" width="12" customWidth="1"/>
  </cols>
  <sheetData>
    <row r="2" spans="2:31" ht="28" customHeight="1">
      <c r="B2" s="324" t="s">
        <v>63</v>
      </c>
    </row>
    <row r="3" spans="2:31" ht="16" customHeight="1">
      <c r="B3" s="325"/>
    </row>
    <row r="4" spans="2:31">
      <c r="B4" s="326"/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6"/>
      <c r="W4" s="326"/>
      <c r="X4" s="326"/>
      <c r="Y4" s="326"/>
      <c r="Z4" s="326"/>
      <c r="AA4" s="326"/>
      <c r="AB4" s="326"/>
      <c r="AC4" s="326"/>
      <c r="AD4" s="326"/>
      <c r="AE4" s="326"/>
    </row>
    <row r="5" spans="2:31"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  <c r="AE5" s="326"/>
    </row>
    <row r="6" spans="2:31">
      <c r="B6" s="326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6"/>
      <c r="X6" s="326"/>
      <c r="Y6" s="326"/>
      <c r="Z6" s="326"/>
      <c r="AA6" s="326"/>
      <c r="AB6" s="326"/>
      <c r="AC6" s="326"/>
      <c r="AD6" s="326"/>
      <c r="AE6" s="326"/>
    </row>
    <row r="7" spans="2:31">
      <c r="B7" s="326"/>
      <c r="C7" s="326"/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  <c r="AA7" s="326"/>
      <c r="AB7" s="326"/>
      <c r="AC7" s="326"/>
      <c r="AD7" s="326"/>
      <c r="AE7" s="326"/>
    </row>
    <row r="8" spans="2:31" ht="14" customHeight="1" thickBot="1">
      <c r="B8" s="326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  <c r="AD8" s="326">
        <f>COUNTA(D9:AC9)</f>
        <v>25</v>
      </c>
      <c r="AE8" s="326" t="s">
        <v>64</v>
      </c>
    </row>
    <row r="9" spans="2:31" ht="16" customHeight="1">
      <c r="B9" s="326"/>
      <c r="C9" s="326"/>
      <c r="D9" s="327">
        <v>2002</v>
      </c>
      <c r="E9" s="327">
        <v>2003</v>
      </c>
      <c r="F9" s="327">
        <v>2004</v>
      </c>
      <c r="G9" s="327">
        <v>2005</v>
      </c>
      <c r="H9" s="328">
        <v>2006</v>
      </c>
      <c r="I9" s="327">
        <v>2007</v>
      </c>
      <c r="J9" s="329">
        <v>2008</v>
      </c>
      <c r="K9" s="327">
        <v>2009</v>
      </c>
      <c r="L9" s="327">
        <v>2010</v>
      </c>
      <c r="M9" s="329">
        <v>2011</v>
      </c>
      <c r="N9" s="329">
        <v>2012</v>
      </c>
      <c r="O9" s="329">
        <v>2013</v>
      </c>
      <c r="P9" s="329">
        <v>2014</v>
      </c>
      <c r="Q9" s="327">
        <v>2015</v>
      </c>
      <c r="R9" s="329">
        <v>2016</v>
      </c>
      <c r="S9" s="327">
        <v>2017</v>
      </c>
      <c r="T9" s="329">
        <v>2018</v>
      </c>
      <c r="U9" s="327">
        <v>2019</v>
      </c>
      <c r="V9" s="327">
        <v>2020</v>
      </c>
      <c r="W9" s="327">
        <v>2021</v>
      </c>
      <c r="X9" s="329">
        <v>2022</v>
      </c>
      <c r="Y9" s="819">
        <v>2023</v>
      </c>
      <c r="Z9" s="329">
        <v>2024</v>
      </c>
      <c r="AA9" s="329">
        <v>2025</v>
      </c>
      <c r="AB9" s="327">
        <v>2026</v>
      </c>
      <c r="AC9" s="326"/>
      <c r="AD9" s="344" t="s">
        <v>0</v>
      </c>
      <c r="AE9" s="326"/>
    </row>
    <row r="10" spans="2:31" ht="16" customHeight="1">
      <c r="B10" s="326"/>
      <c r="C10" s="326"/>
      <c r="D10" s="330">
        <v>14990</v>
      </c>
      <c r="E10" s="330">
        <v>25595</v>
      </c>
      <c r="F10" s="330">
        <v>29655</v>
      </c>
      <c r="G10" s="330">
        <v>38875</v>
      </c>
      <c r="H10" s="331">
        <v>34850</v>
      </c>
      <c r="I10" s="330">
        <v>26500</v>
      </c>
      <c r="J10" s="330">
        <v>26700</v>
      </c>
      <c r="K10" s="332">
        <v>56550</v>
      </c>
      <c r="L10" s="330">
        <v>41080</v>
      </c>
      <c r="M10" s="330">
        <v>19720</v>
      </c>
      <c r="N10" s="330">
        <v>24700</v>
      </c>
      <c r="O10" s="330">
        <v>25875</v>
      </c>
      <c r="P10" s="330">
        <v>27865</v>
      </c>
      <c r="Q10" s="330">
        <v>29035</v>
      </c>
      <c r="R10" s="330">
        <v>31595</v>
      </c>
      <c r="S10" s="330">
        <v>31265</v>
      </c>
      <c r="T10" s="330">
        <v>31760</v>
      </c>
      <c r="U10" s="330">
        <v>31575</v>
      </c>
      <c r="V10" s="330">
        <v>32245</v>
      </c>
      <c r="W10" s="330">
        <v>35815</v>
      </c>
      <c r="X10" s="330">
        <v>37330</v>
      </c>
      <c r="Y10" s="820">
        <v>37980</v>
      </c>
      <c r="Z10" s="330">
        <v>44150</v>
      </c>
      <c r="AA10" s="330">
        <v>46200</v>
      </c>
      <c r="AB10" s="330"/>
      <c r="AC10" s="334" t="s">
        <v>65</v>
      </c>
      <c r="AD10" s="335">
        <f>SUM(D10:AA10)</f>
        <v>781905</v>
      </c>
      <c r="AE10" s="326" t="s">
        <v>66</v>
      </c>
    </row>
    <row r="11" spans="2:31" ht="16" customHeight="1">
      <c r="B11" s="326"/>
      <c r="C11" s="326"/>
      <c r="D11" s="330">
        <v>11525</v>
      </c>
      <c r="E11" s="330">
        <v>24880</v>
      </c>
      <c r="F11" s="330">
        <v>23500</v>
      </c>
      <c r="G11" s="330">
        <v>27850</v>
      </c>
      <c r="H11" s="331">
        <v>23800</v>
      </c>
      <c r="I11" s="330">
        <v>23500</v>
      </c>
      <c r="J11" s="330">
        <v>32650</v>
      </c>
      <c r="K11" s="330">
        <v>46550</v>
      </c>
      <c r="L11" s="330">
        <v>39850</v>
      </c>
      <c r="M11" s="330">
        <v>26570</v>
      </c>
      <c r="N11" s="330">
        <v>29500</v>
      </c>
      <c r="O11" s="330">
        <v>30150</v>
      </c>
      <c r="P11" s="330">
        <v>33090</v>
      </c>
      <c r="Q11" s="330">
        <v>24190</v>
      </c>
      <c r="R11" s="330">
        <v>36075</v>
      </c>
      <c r="S11" s="330">
        <v>27750</v>
      </c>
      <c r="T11" s="330">
        <v>34135</v>
      </c>
      <c r="U11" s="330">
        <v>29070</v>
      </c>
      <c r="V11" s="330">
        <v>27695</v>
      </c>
      <c r="W11" s="330">
        <v>31025</v>
      </c>
      <c r="X11" s="330">
        <v>38670</v>
      </c>
      <c r="Y11" s="820">
        <v>46435</v>
      </c>
      <c r="Z11" s="330">
        <v>48705</v>
      </c>
      <c r="AA11" s="330">
        <v>48600</v>
      </c>
      <c r="AB11" s="330"/>
      <c r="AC11" s="334" t="s">
        <v>67</v>
      </c>
      <c r="AD11" s="335">
        <f>SUM(D11:AA11)</f>
        <v>765765</v>
      </c>
      <c r="AE11" s="326"/>
    </row>
    <row r="12" spans="2:31" ht="17" customHeight="1" thickBot="1">
      <c r="B12" s="326"/>
      <c r="C12" s="326"/>
      <c r="D12" s="330"/>
      <c r="E12" s="330"/>
      <c r="F12" s="330"/>
      <c r="G12" s="330"/>
      <c r="H12" s="331"/>
      <c r="I12" s="330"/>
      <c r="J12" s="330"/>
      <c r="K12" s="330"/>
      <c r="L12" s="326"/>
      <c r="M12" s="326"/>
      <c r="N12" s="326"/>
      <c r="O12" s="326"/>
      <c r="P12" s="326"/>
      <c r="Q12" s="330"/>
      <c r="R12" s="330"/>
      <c r="S12" s="330"/>
      <c r="T12" s="333"/>
      <c r="U12" s="330"/>
      <c r="V12" s="330"/>
      <c r="W12" s="330"/>
      <c r="X12" s="333"/>
      <c r="Y12" s="820"/>
      <c r="Z12" s="330"/>
      <c r="AA12" s="330"/>
      <c r="AB12" s="330"/>
      <c r="AC12" s="334"/>
      <c r="AD12" s="336"/>
      <c r="AE12" s="326"/>
    </row>
    <row r="13" spans="2:31" ht="17" customHeight="1" thickBot="1">
      <c r="B13" s="326"/>
      <c r="C13" s="326"/>
      <c r="D13" s="337">
        <f t="shared" ref="D13:AA13" si="0">D10-D11</f>
        <v>3465</v>
      </c>
      <c r="E13" s="337">
        <f t="shared" si="0"/>
        <v>715</v>
      </c>
      <c r="F13" s="337">
        <f t="shared" si="0"/>
        <v>6155</v>
      </c>
      <c r="G13" s="337">
        <f t="shared" si="0"/>
        <v>11025</v>
      </c>
      <c r="H13" s="338">
        <f t="shared" si="0"/>
        <v>11050</v>
      </c>
      <c r="I13" s="337">
        <f t="shared" si="0"/>
        <v>3000</v>
      </c>
      <c r="J13" s="339">
        <f t="shared" si="0"/>
        <v>-5950</v>
      </c>
      <c r="K13" s="337">
        <f t="shared" si="0"/>
        <v>10000</v>
      </c>
      <c r="L13" s="337">
        <f t="shared" si="0"/>
        <v>1230</v>
      </c>
      <c r="M13" s="340">
        <f t="shared" si="0"/>
        <v>-6850</v>
      </c>
      <c r="N13" s="340">
        <f t="shared" si="0"/>
        <v>-4800</v>
      </c>
      <c r="O13" s="340">
        <f t="shared" si="0"/>
        <v>-4275</v>
      </c>
      <c r="P13" s="340">
        <f t="shared" si="0"/>
        <v>-5225</v>
      </c>
      <c r="Q13" s="337">
        <f t="shared" si="0"/>
        <v>4845</v>
      </c>
      <c r="R13" s="340">
        <f t="shared" si="0"/>
        <v>-4480</v>
      </c>
      <c r="S13" s="337">
        <f t="shared" si="0"/>
        <v>3515</v>
      </c>
      <c r="T13" s="340">
        <f t="shared" si="0"/>
        <v>-2375</v>
      </c>
      <c r="U13" s="337">
        <f t="shared" si="0"/>
        <v>2505</v>
      </c>
      <c r="V13" s="337">
        <f t="shared" si="0"/>
        <v>4550</v>
      </c>
      <c r="W13" s="337">
        <f t="shared" si="0"/>
        <v>4790</v>
      </c>
      <c r="X13" s="340">
        <f t="shared" si="0"/>
        <v>-1340</v>
      </c>
      <c r="Y13" s="821">
        <f t="shared" si="0"/>
        <v>-8455</v>
      </c>
      <c r="Z13" s="340">
        <f t="shared" si="0"/>
        <v>-4555</v>
      </c>
      <c r="AA13" s="340">
        <f t="shared" si="0"/>
        <v>-2400</v>
      </c>
      <c r="AB13" s="340"/>
      <c r="AC13" s="334" t="s">
        <v>68</v>
      </c>
      <c r="AD13" s="998">
        <f>SUM(D13:AA13)</f>
        <v>16140</v>
      </c>
      <c r="AE13" s="326"/>
    </row>
    <row r="14" spans="2:31"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326"/>
      <c r="O14" s="326"/>
      <c r="P14" s="326"/>
      <c r="Q14" s="326"/>
      <c r="R14" s="326"/>
      <c r="S14" s="326"/>
      <c r="T14" s="326"/>
      <c r="U14" s="326"/>
      <c r="V14" s="326"/>
      <c r="W14" s="326"/>
      <c r="X14" s="326"/>
      <c r="Y14" s="326"/>
      <c r="Z14" s="326"/>
      <c r="AA14" s="326"/>
      <c r="AB14" s="326"/>
      <c r="AC14" s="326"/>
      <c r="AD14" s="326"/>
      <c r="AE14" s="326"/>
    </row>
    <row r="15" spans="2:31">
      <c r="B15" s="326"/>
      <c r="C15" s="326"/>
      <c r="D15" s="341" t="s">
        <v>69</v>
      </c>
      <c r="E15" s="341" t="s">
        <v>69</v>
      </c>
      <c r="F15" s="341" t="s">
        <v>69</v>
      </c>
      <c r="G15" s="341" t="s">
        <v>70</v>
      </c>
      <c r="H15" s="342" t="s">
        <v>71</v>
      </c>
      <c r="I15" s="342" t="s">
        <v>72</v>
      </c>
      <c r="J15" s="342" t="s">
        <v>72</v>
      </c>
      <c r="K15" s="342" t="s">
        <v>72</v>
      </c>
      <c r="L15" s="342" t="s">
        <v>73</v>
      </c>
      <c r="M15" s="326"/>
      <c r="N15" s="326"/>
      <c r="O15" s="326"/>
      <c r="P15" s="326"/>
      <c r="Q15" s="326"/>
      <c r="R15" s="326"/>
      <c r="S15" s="326"/>
      <c r="T15" s="326"/>
      <c r="U15" s="326"/>
      <c r="V15" s="326"/>
      <c r="W15" s="326"/>
      <c r="X15" s="326"/>
      <c r="Y15" s="326"/>
      <c r="Z15" s="326"/>
      <c r="AA15" s="326"/>
      <c r="AB15" s="326"/>
      <c r="AC15" s="326"/>
      <c r="AD15" s="326"/>
      <c r="AE15" s="326"/>
    </row>
    <row r="16" spans="2:31">
      <c r="B16" s="326"/>
      <c r="C16" s="326"/>
      <c r="D16" s="343"/>
      <c r="E16" s="343"/>
      <c r="F16" s="341" t="s">
        <v>70</v>
      </c>
      <c r="G16" s="342" t="s">
        <v>71</v>
      </c>
      <c r="H16" s="342" t="s">
        <v>72</v>
      </c>
      <c r="I16" s="342"/>
      <c r="J16" s="342"/>
      <c r="K16" s="342" t="s">
        <v>73</v>
      </c>
      <c r="L16" s="342" t="s">
        <v>74</v>
      </c>
      <c r="M16" s="326"/>
      <c r="N16" s="326"/>
      <c r="O16" s="326"/>
      <c r="P16" s="326"/>
      <c r="Q16" s="326"/>
      <c r="R16" s="326"/>
      <c r="S16" s="326"/>
      <c r="T16" s="326"/>
      <c r="U16" s="326"/>
      <c r="V16" s="326"/>
      <c r="W16" s="326"/>
      <c r="X16" s="326"/>
      <c r="Y16" s="326"/>
      <c r="Z16" s="326"/>
      <c r="AA16" s="326"/>
      <c r="AB16" s="326"/>
      <c r="AC16" s="326"/>
      <c r="AD16" s="326"/>
      <c r="AE16" s="326"/>
    </row>
    <row r="17" spans="2:31">
      <c r="B17" s="326"/>
      <c r="C17" s="326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326"/>
      <c r="O17" s="326"/>
      <c r="P17" s="326"/>
      <c r="Q17" s="326"/>
      <c r="R17" s="326"/>
      <c r="S17" s="326"/>
      <c r="T17" s="326"/>
      <c r="U17" s="326"/>
      <c r="V17" s="326"/>
      <c r="W17" s="326"/>
      <c r="X17" s="326"/>
      <c r="Y17" s="326"/>
      <c r="Z17" s="326"/>
      <c r="AA17" s="326"/>
      <c r="AB17" s="326"/>
      <c r="AC17" s="326"/>
      <c r="AD17" s="326"/>
      <c r="AE17" s="326"/>
    </row>
    <row r="18" spans="2:31">
      <c r="B18" s="326"/>
      <c r="C18" s="326"/>
      <c r="D18" s="326"/>
      <c r="E18" s="326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326"/>
      <c r="T18" s="326"/>
      <c r="U18" s="326"/>
      <c r="V18" s="326"/>
      <c r="W18" s="326"/>
      <c r="X18" s="326"/>
      <c r="Y18" s="326"/>
      <c r="Z18" s="326"/>
      <c r="AA18" s="326"/>
      <c r="AB18" s="326"/>
      <c r="AC18" s="326"/>
      <c r="AD18" s="326"/>
      <c r="AE18" s="326"/>
    </row>
    <row r="19" spans="2:31">
      <c r="B19" s="326"/>
      <c r="C19" s="326"/>
      <c r="D19" s="326"/>
      <c r="E19" s="326"/>
      <c r="F19" s="326"/>
      <c r="G19" s="326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  <c r="AA19" s="326"/>
      <c r="AB19" s="326"/>
      <c r="AC19" s="326"/>
      <c r="AD19" s="326"/>
      <c r="AE19" s="326"/>
    </row>
    <row r="20" spans="2:31">
      <c r="B20" s="326"/>
      <c r="C20" s="326"/>
      <c r="D20" s="326"/>
      <c r="E20" s="326"/>
      <c r="F20" s="326"/>
      <c r="G20" s="326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  <c r="AA20" s="326"/>
      <c r="AB20" s="326"/>
      <c r="AC20" s="326"/>
      <c r="AD20" s="326"/>
      <c r="AE20" s="326"/>
    </row>
    <row r="21" spans="2:31">
      <c r="B21" s="326"/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326"/>
      <c r="AB21" s="326"/>
      <c r="AC21" s="326"/>
      <c r="AD21" s="326"/>
      <c r="AE21" s="326"/>
    </row>
    <row r="22" spans="2:31">
      <c r="B22" s="326"/>
      <c r="C22" s="326"/>
      <c r="D22" s="326"/>
      <c r="E22" s="326"/>
      <c r="F22" s="326"/>
      <c r="G22" s="326"/>
      <c r="H22" s="326"/>
      <c r="I22" s="326"/>
      <c r="J22" s="326"/>
      <c r="K22" s="326"/>
      <c r="L22" s="326"/>
      <c r="M22" s="326"/>
      <c r="N22" s="326"/>
      <c r="O22" s="326"/>
      <c r="P22" s="326"/>
      <c r="Q22" s="326"/>
      <c r="R22" s="326"/>
      <c r="S22" s="326"/>
      <c r="T22" s="326"/>
      <c r="U22" s="326"/>
      <c r="V22" s="326"/>
      <c r="W22" s="326"/>
      <c r="X22" s="326"/>
      <c r="Y22" s="326"/>
      <c r="Z22" s="326"/>
      <c r="AA22" s="326"/>
      <c r="AB22" s="326"/>
      <c r="AC22" s="326"/>
      <c r="AD22" s="326"/>
      <c r="AE22" s="326"/>
    </row>
    <row r="37" spans="3:18" ht="16" customHeight="1">
      <c r="C37" s="445"/>
      <c r="D37" s="394">
        <v>2022</v>
      </c>
      <c r="E37" s="394">
        <v>2023</v>
      </c>
      <c r="G37" s="394">
        <v>2023</v>
      </c>
      <c r="H37" s="394">
        <v>2024</v>
      </c>
      <c r="J37" s="394">
        <v>2024</v>
      </c>
      <c r="K37" s="394">
        <v>2025</v>
      </c>
      <c r="M37" s="394">
        <v>2025</v>
      </c>
      <c r="N37" s="394">
        <v>2026</v>
      </c>
      <c r="P37" s="394">
        <v>2026</v>
      </c>
      <c r="Q37" s="394">
        <v>2027</v>
      </c>
    </row>
    <row r="38" spans="3:18">
      <c r="D38" t="s">
        <v>75</v>
      </c>
      <c r="E38" t="s">
        <v>76</v>
      </c>
      <c r="G38" t="s">
        <v>75</v>
      </c>
      <c r="H38" t="s">
        <v>76</v>
      </c>
      <c r="J38" t="s">
        <v>75</v>
      </c>
      <c r="K38" t="s">
        <v>76</v>
      </c>
      <c r="M38" t="s">
        <v>75</v>
      </c>
      <c r="N38" t="s">
        <v>76</v>
      </c>
      <c r="P38" t="s">
        <v>75</v>
      </c>
      <c r="Q38" t="s">
        <v>76</v>
      </c>
    </row>
    <row r="39" spans="3:18">
      <c r="C39" s="254" t="s">
        <v>77</v>
      </c>
      <c r="D39" s="377">
        <v>46000</v>
      </c>
      <c r="E39" s="377">
        <v>47000</v>
      </c>
      <c r="F39" s="807">
        <f t="shared" ref="F39:F44" si="1">E39/$E$46</f>
        <v>0.68814055636896043</v>
      </c>
      <c r="G39" s="377">
        <v>40000</v>
      </c>
      <c r="H39" s="377">
        <v>39450</v>
      </c>
      <c r="I39" s="807">
        <f t="shared" ref="I39:I44" si="2">H39/$H$46</f>
        <v>0.55712469990114388</v>
      </c>
      <c r="J39" s="377">
        <v>36700</v>
      </c>
      <c r="K39" s="377">
        <v>35575</v>
      </c>
      <c r="L39" s="807">
        <f t="shared" ref="L39:L44" si="3">K39/$K$46</f>
        <v>0.4553017213796634</v>
      </c>
      <c r="M39" s="377">
        <v>35710</v>
      </c>
      <c r="N39" s="377">
        <v>31200</v>
      </c>
      <c r="O39" s="807">
        <f t="shared" ref="O39:O44" si="4">N39/$N$46</f>
        <v>0.36042280367354013</v>
      </c>
    </row>
    <row r="40" spans="3:18">
      <c r="C40" s="254" t="s">
        <v>78</v>
      </c>
      <c r="D40" s="377">
        <v>1600</v>
      </c>
      <c r="E40" s="377">
        <v>650</v>
      </c>
      <c r="F40" s="808">
        <f t="shared" si="1"/>
        <v>9.5168374816983897E-3</v>
      </c>
      <c r="G40" s="377">
        <v>405</v>
      </c>
      <c r="H40" s="377">
        <v>395</v>
      </c>
      <c r="I40" s="809">
        <f t="shared" si="2"/>
        <v>5.5783081485665867E-3</v>
      </c>
      <c r="J40" s="377">
        <v>540</v>
      </c>
      <c r="K40" s="377">
        <v>750</v>
      </c>
      <c r="L40" s="809">
        <f t="shared" si="3"/>
        <v>9.5987713572662694E-3</v>
      </c>
      <c r="M40" s="377">
        <v>445</v>
      </c>
      <c r="N40" s="377">
        <v>500</v>
      </c>
      <c r="O40" s="809">
        <f t="shared" si="4"/>
        <v>5.7760064691272451E-3</v>
      </c>
    </row>
    <row r="41" spans="3:18">
      <c r="C41" s="254" t="s">
        <v>79</v>
      </c>
      <c r="D41" s="377">
        <v>1000</v>
      </c>
      <c r="E41" s="377">
        <v>2000</v>
      </c>
      <c r="F41" s="806">
        <f t="shared" si="1"/>
        <v>2.9282576866764276E-2</v>
      </c>
      <c r="G41" s="377">
        <v>6150</v>
      </c>
      <c r="H41" s="377">
        <v>8130</v>
      </c>
      <c r="I41" s="807">
        <f t="shared" si="2"/>
        <v>0.11481429176669962</v>
      </c>
      <c r="J41" s="377">
        <v>11385</v>
      </c>
      <c r="K41" s="377">
        <v>12575</v>
      </c>
      <c r="L41" s="807">
        <f t="shared" si="3"/>
        <v>0.16093939975683114</v>
      </c>
      <c r="M41" s="377">
        <f>M48+M49</f>
        <v>17915</v>
      </c>
      <c r="N41" s="377">
        <v>20430</v>
      </c>
      <c r="O41" s="807">
        <f t="shared" si="4"/>
        <v>0.23600762432853925</v>
      </c>
      <c r="R41" t="s">
        <v>80</v>
      </c>
    </row>
    <row r="42" spans="3:18">
      <c r="C42" s="254" t="s">
        <v>81</v>
      </c>
      <c r="D42" s="377">
        <v>1500</v>
      </c>
      <c r="E42" s="377">
        <v>2700</v>
      </c>
      <c r="F42" s="808">
        <f t="shared" si="1"/>
        <v>3.9531478770131773E-2</v>
      </c>
      <c r="G42" s="377">
        <v>3585</v>
      </c>
      <c r="H42" s="377">
        <v>4195</v>
      </c>
      <c r="I42" s="809">
        <f t="shared" si="2"/>
        <v>5.9243044767688179E-2</v>
      </c>
      <c r="J42" s="377">
        <v>5315</v>
      </c>
      <c r="K42" s="377">
        <v>5500</v>
      </c>
      <c r="L42" s="809">
        <f t="shared" si="3"/>
        <v>7.0390989953285979E-2</v>
      </c>
      <c r="M42" s="377">
        <v>6400</v>
      </c>
      <c r="N42" s="377">
        <v>6900</v>
      </c>
      <c r="O42" s="809">
        <f t="shared" si="4"/>
        <v>7.9708889273955988E-2</v>
      </c>
      <c r="R42" t="s">
        <v>82</v>
      </c>
    </row>
    <row r="43" spans="3:18">
      <c r="C43" s="254" t="s">
        <v>83</v>
      </c>
      <c r="D43" s="377">
        <v>15650</v>
      </c>
      <c r="E43" s="377">
        <v>14500</v>
      </c>
      <c r="F43" s="807">
        <f t="shared" si="1"/>
        <v>0.212298682284041</v>
      </c>
      <c r="G43" s="377">
        <v>15950</v>
      </c>
      <c r="H43" s="377">
        <v>16000</v>
      </c>
      <c r="I43" s="807">
        <f t="shared" si="2"/>
        <v>0.2259567857647225</v>
      </c>
      <c r="J43" s="377">
        <v>18150</v>
      </c>
      <c r="K43" s="377">
        <v>19125</v>
      </c>
      <c r="L43" s="807">
        <f t="shared" si="3"/>
        <v>0.2447686696102899</v>
      </c>
      <c r="M43" s="377">
        <v>19050</v>
      </c>
      <c r="N43" s="377">
        <v>20150</v>
      </c>
      <c r="O43" s="807">
        <f t="shared" si="4"/>
        <v>0.23277306070582798</v>
      </c>
      <c r="R43" t="s">
        <v>84</v>
      </c>
    </row>
    <row r="44" spans="3:18">
      <c r="C44" s="254" t="s">
        <v>85</v>
      </c>
      <c r="D44" s="377">
        <v>925</v>
      </c>
      <c r="E44" s="377">
        <v>1450</v>
      </c>
      <c r="F44" s="808">
        <f t="shared" si="1"/>
        <v>2.12298682284041E-2</v>
      </c>
      <c r="G44" s="377">
        <v>2140</v>
      </c>
      <c r="H44" s="377">
        <v>2640</v>
      </c>
      <c r="I44" s="809">
        <f t="shared" si="2"/>
        <v>3.7282869651179211E-2</v>
      </c>
      <c r="J44" s="377">
        <v>3985</v>
      </c>
      <c r="K44" s="377">
        <v>4610</v>
      </c>
      <c r="L44" s="809">
        <f t="shared" si="3"/>
        <v>5.9000447942663341E-2</v>
      </c>
      <c r="M44" s="377">
        <v>5900</v>
      </c>
      <c r="N44" s="377">
        <v>7385</v>
      </c>
      <c r="O44" s="809">
        <f t="shared" si="4"/>
        <v>8.5311615549009415E-2</v>
      </c>
    </row>
    <row r="45" spans="3:18">
      <c r="C45" s="254"/>
      <c r="D45" s="377"/>
      <c r="F45" s="805"/>
    </row>
    <row r="46" spans="3:18" ht="16" customHeight="1">
      <c r="C46" s="906" t="s">
        <v>86</v>
      </c>
      <c r="D46" s="378">
        <f>SUM(D39:D45)</f>
        <v>66675</v>
      </c>
      <c r="E46" s="444">
        <f>SUM(E39:E45)</f>
        <v>68300</v>
      </c>
      <c r="G46" s="378">
        <f>SUM(G39:G45)</f>
        <v>68230</v>
      </c>
      <c r="H46" s="444">
        <f>SUM(H39:H45)</f>
        <v>70810</v>
      </c>
      <c r="J46" s="378">
        <f>SUM(J39:J45)</f>
        <v>76075</v>
      </c>
      <c r="K46" s="444">
        <f>SUM(K39:K45)</f>
        <v>78135</v>
      </c>
      <c r="M46" s="378">
        <f>SUM(M39:M45)</f>
        <v>85420</v>
      </c>
      <c r="N46" s="444">
        <f>SUM(N39:N45)</f>
        <v>86565</v>
      </c>
    </row>
    <row r="47" spans="3:18">
      <c r="C47" s="254"/>
    </row>
    <row r="48" spans="3:18">
      <c r="D48" s="254" t="s">
        <v>87</v>
      </c>
      <c r="E48" t="s">
        <v>88</v>
      </c>
      <c r="L48" s="254" t="s">
        <v>89</v>
      </c>
      <c r="M48" s="666">
        <v>5810</v>
      </c>
      <c r="N48">
        <v>7215</v>
      </c>
    </row>
    <row r="49" spans="12:14">
      <c r="L49" s="254" t="s">
        <v>90</v>
      </c>
      <c r="M49" s="666">
        <v>12105</v>
      </c>
      <c r="N49">
        <v>13215</v>
      </c>
    </row>
    <row r="50" spans="12:14">
      <c r="L50" s="254"/>
      <c r="M50" s="666"/>
    </row>
  </sheetData>
  <pageMargins left="0.75" right="0.75" top="1" bottom="1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Y127"/>
  <sheetViews>
    <sheetView showGridLines="0" topLeftCell="A46" zoomScale="110" zoomScaleNormal="110" workbookViewId="0">
      <selection activeCell="C91" sqref="C91"/>
    </sheetView>
  </sheetViews>
  <sheetFormatPr baseColWidth="10" defaultColWidth="11.5" defaultRowHeight="13"/>
  <cols>
    <col min="1" max="1" width="4.5" customWidth="1"/>
    <col min="3" max="4" width="8.5" style="666" bestFit="1" customWidth="1"/>
    <col min="5" max="5" width="8.6640625" bestFit="1" customWidth="1"/>
    <col min="6" max="6" width="8.33203125" bestFit="1" customWidth="1"/>
    <col min="21" max="21" width="12.6640625" bestFit="1" customWidth="1"/>
  </cols>
  <sheetData>
    <row r="4" spans="2:6">
      <c r="B4" s="358"/>
      <c r="C4" s="359" t="s">
        <v>91</v>
      </c>
      <c r="D4" s="359" t="s">
        <v>92</v>
      </c>
      <c r="E4" s="345" t="s">
        <v>93</v>
      </c>
    </row>
    <row r="5" spans="2:6">
      <c r="B5" s="360">
        <v>39873</v>
      </c>
      <c r="C5" s="446">
        <v>21350</v>
      </c>
      <c r="D5" s="446">
        <v>17700</v>
      </c>
      <c r="E5" s="450">
        <f t="shared" ref="E5:E36" si="0">C5+D5</f>
        <v>39050</v>
      </c>
    </row>
    <row r="6" spans="2:6">
      <c r="B6" s="999">
        <v>39965</v>
      </c>
      <c r="C6" s="1000">
        <v>21450</v>
      </c>
      <c r="D6" s="1000">
        <v>9700</v>
      </c>
      <c r="E6" s="1001">
        <f t="shared" si="0"/>
        <v>31150</v>
      </c>
      <c r="F6" t="s">
        <v>94</v>
      </c>
    </row>
    <row r="7" spans="2:6">
      <c r="B7" s="360">
        <v>40026</v>
      </c>
      <c r="C7" s="446">
        <v>21450</v>
      </c>
      <c r="D7" s="446">
        <v>22200</v>
      </c>
      <c r="E7" s="450">
        <f t="shared" si="0"/>
        <v>43650</v>
      </c>
    </row>
    <row r="8" spans="2:6">
      <c r="B8" s="360">
        <v>40118</v>
      </c>
      <c r="C8" s="446">
        <v>21450</v>
      </c>
      <c r="D8" s="446">
        <v>22500</v>
      </c>
      <c r="E8" s="450">
        <f t="shared" si="0"/>
        <v>43950</v>
      </c>
    </row>
    <row r="9" spans="2:6">
      <c r="B9" s="360">
        <v>40210</v>
      </c>
      <c r="C9" s="446">
        <v>21450</v>
      </c>
      <c r="D9" s="446">
        <v>27800</v>
      </c>
      <c r="E9" s="450">
        <f t="shared" si="0"/>
        <v>49250</v>
      </c>
    </row>
    <row r="10" spans="2:6">
      <c r="B10" s="360">
        <v>40269</v>
      </c>
      <c r="C10" s="446">
        <v>21450</v>
      </c>
      <c r="D10" s="446">
        <v>29700</v>
      </c>
      <c r="E10" s="450">
        <f t="shared" si="0"/>
        <v>51150</v>
      </c>
    </row>
    <row r="11" spans="2:6">
      <c r="B11" s="360">
        <v>40330</v>
      </c>
      <c r="C11" s="446">
        <v>21450</v>
      </c>
      <c r="D11" s="446">
        <v>30700</v>
      </c>
      <c r="E11" s="450">
        <f t="shared" si="0"/>
        <v>52150</v>
      </c>
    </row>
    <row r="12" spans="2:6">
      <c r="B12" s="360">
        <v>40422</v>
      </c>
      <c r="C12" s="446">
        <v>21450</v>
      </c>
      <c r="D12" s="446">
        <v>30600</v>
      </c>
      <c r="E12" s="450">
        <f t="shared" si="0"/>
        <v>52050</v>
      </c>
    </row>
    <row r="13" spans="2:6">
      <c r="B13" s="794">
        <v>40513</v>
      </c>
      <c r="C13" s="795">
        <v>21460</v>
      </c>
      <c r="D13" s="795">
        <v>30600</v>
      </c>
      <c r="E13" s="796">
        <f t="shared" si="0"/>
        <v>52060</v>
      </c>
      <c r="F13" s="616"/>
    </row>
    <row r="14" spans="2:6">
      <c r="B14" s="360">
        <v>40603</v>
      </c>
      <c r="C14" s="446">
        <v>21470</v>
      </c>
      <c r="D14" s="446">
        <v>27600</v>
      </c>
      <c r="E14" s="450">
        <f t="shared" si="0"/>
        <v>49070</v>
      </c>
    </row>
    <row r="15" spans="2:6">
      <c r="B15" s="360">
        <v>40695</v>
      </c>
      <c r="C15" s="446">
        <v>21470</v>
      </c>
      <c r="D15" s="446">
        <v>25000</v>
      </c>
      <c r="E15" s="450">
        <f t="shared" si="0"/>
        <v>46470</v>
      </c>
    </row>
    <row r="16" spans="2:6">
      <c r="B16" s="360">
        <v>40787</v>
      </c>
      <c r="C16" s="446">
        <v>21475</v>
      </c>
      <c r="D16" s="446">
        <v>24000</v>
      </c>
      <c r="E16" s="450">
        <f t="shared" si="0"/>
        <v>45475</v>
      </c>
    </row>
    <row r="17" spans="2:6">
      <c r="B17" s="794">
        <v>40878</v>
      </c>
      <c r="C17" s="797">
        <v>21475</v>
      </c>
      <c r="D17" s="795">
        <v>23000</v>
      </c>
      <c r="E17" s="796">
        <f t="shared" si="0"/>
        <v>44475</v>
      </c>
      <c r="F17" s="798"/>
    </row>
    <row r="18" spans="2:6">
      <c r="B18" s="360">
        <v>40969</v>
      </c>
      <c r="C18" s="447">
        <v>21480</v>
      </c>
      <c r="D18" s="448">
        <v>18000</v>
      </c>
      <c r="E18" s="450">
        <f t="shared" si="0"/>
        <v>39480</v>
      </c>
    </row>
    <row r="19" spans="2:6">
      <c r="B19" s="360">
        <v>41061</v>
      </c>
      <c r="C19" s="447">
        <v>21490</v>
      </c>
      <c r="D19" s="448">
        <v>19000</v>
      </c>
      <c r="E19" s="450">
        <f t="shared" si="0"/>
        <v>40490</v>
      </c>
    </row>
    <row r="20" spans="2:6">
      <c r="B20" s="360">
        <v>41153</v>
      </c>
      <c r="C20" s="448">
        <v>21490</v>
      </c>
      <c r="D20" s="448">
        <v>19500</v>
      </c>
      <c r="E20" s="450">
        <f t="shared" si="0"/>
        <v>40990</v>
      </c>
    </row>
    <row r="21" spans="2:6">
      <c r="B21" s="794">
        <v>41244</v>
      </c>
      <c r="C21" s="799">
        <v>21500</v>
      </c>
      <c r="D21" s="799">
        <v>20000</v>
      </c>
      <c r="E21" s="796">
        <f t="shared" si="0"/>
        <v>41500</v>
      </c>
      <c r="F21" s="616"/>
    </row>
    <row r="22" spans="2:6">
      <c r="B22" s="360">
        <v>41334</v>
      </c>
      <c r="C22" s="447">
        <v>21500</v>
      </c>
      <c r="D22" s="448">
        <v>11500</v>
      </c>
      <c r="E22" s="450">
        <f t="shared" si="0"/>
        <v>33000</v>
      </c>
    </row>
    <row r="23" spans="2:6">
      <c r="B23" s="360">
        <v>41426</v>
      </c>
      <c r="C23" s="448">
        <v>21510</v>
      </c>
      <c r="D23" s="448">
        <v>11750</v>
      </c>
      <c r="E23" s="450">
        <f t="shared" si="0"/>
        <v>33260</v>
      </c>
    </row>
    <row r="24" spans="2:6">
      <c r="B24" s="360">
        <v>41518</v>
      </c>
      <c r="C24" s="447">
        <v>21510</v>
      </c>
      <c r="D24" s="448">
        <v>13000</v>
      </c>
      <c r="E24" s="451">
        <f t="shared" si="0"/>
        <v>34510</v>
      </c>
    </row>
    <row r="25" spans="2:6">
      <c r="B25" s="794">
        <v>41609</v>
      </c>
      <c r="C25" s="799">
        <v>21515</v>
      </c>
      <c r="D25" s="799">
        <v>17000</v>
      </c>
      <c r="E25" s="800">
        <f t="shared" si="0"/>
        <v>38515</v>
      </c>
      <c r="F25" s="616"/>
    </row>
    <row r="26" spans="2:6">
      <c r="B26" s="360">
        <v>41699</v>
      </c>
      <c r="C26" s="448">
        <v>21520</v>
      </c>
      <c r="D26" s="448">
        <v>19250</v>
      </c>
      <c r="E26" s="451">
        <f t="shared" si="0"/>
        <v>40770</v>
      </c>
    </row>
    <row r="27" spans="2:6">
      <c r="B27" s="360">
        <v>41791</v>
      </c>
      <c r="C27" s="448">
        <v>21525</v>
      </c>
      <c r="D27" s="448">
        <v>19300</v>
      </c>
      <c r="E27" s="451">
        <f t="shared" si="0"/>
        <v>40825</v>
      </c>
    </row>
    <row r="28" spans="2:6">
      <c r="B28" s="360">
        <v>41852</v>
      </c>
      <c r="C28" s="448">
        <v>21530</v>
      </c>
      <c r="D28" s="448">
        <v>17500</v>
      </c>
      <c r="E28" s="451">
        <f t="shared" si="0"/>
        <v>39030</v>
      </c>
    </row>
    <row r="29" spans="2:6">
      <c r="B29" s="794">
        <v>41944</v>
      </c>
      <c r="C29" s="799">
        <v>21530</v>
      </c>
      <c r="D29" s="799">
        <v>15000</v>
      </c>
      <c r="E29" s="800">
        <f t="shared" si="0"/>
        <v>36530</v>
      </c>
      <c r="F29" s="616"/>
    </row>
    <row r="30" spans="2:6">
      <c r="B30" s="360">
        <v>42036</v>
      </c>
      <c r="C30" s="448">
        <v>21530</v>
      </c>
      <c r="D30" s="448">
        <v>13300</v>
      </c>
      <c r="E30" s="451">
        <f t="shared" si="0"/>
        <v>34830</v>
      </c>
    </row>
    <row r="31" spans="2:6">
      <c r="B31" s="360">
        <v>42125</v>
      </c>
      <c r="C31" s="448">
        <v>21535</v>
      </c>
      <c r="D31" s="448">
        <v>15215</v>
      </c>
      <c r="E31" s="451">
        <f t="shared" si="0"/>
        <v>36750</v>
      </c>
    </row>
    <row r="32" spans="2:6">
      <c r="B32" s="360">
        <v>42217</v>
      </c>
      <c r="C32" s="448">
        <v>21535</v>
      </c>
      <c r="D32" s="448">
        <v>16850</v>
      </c>
      <c r="E32" s="451">
        <f t="shared" si="0"/>
        <v>38385</v>
      </c>
    </row>
    <row r="33" spans="2:25">
      <c r="B33" s="794">
        <v>42309</v>
      </c>
      <c r="C33" s="799">
        <v>21540</v>
      </c>
      <c r="D33" s="799">
        <v>18000</v>
      </c>
      <c r="E33" s="800">
        <f t="shared" si="0"/>
        <v>39540</v>
      </c>
      <c r="F33" s="616"/>
    </row>
    <row r="34" spans="2:25">
      <c r="B34" s="360">
        <v>42401</v>
      </c>
      <c r="C34" s="448">
        <v>14350</v>
      </c>
      <c r="D34" s="448">
        <v>25500</v>
      </c>
      <c r="E34" s="451">
        <f t="shared" si="0"/>
        <v>39850</v>
      </c>
    </row>
    <row r="35" spans="2:25">
      <c r="B35" s="360">
        <v>42522</v>
      </c>
      <c r="C35" s="448">
        <v>14500</v>
      </c>
      <c r="D35" s="448">
        <v>17000</v>
      </c>
      <c r="E35" s="451">
        <f t="shared" si="0"/>
        <v>31500</v>
      </c>
    </row>
    <row r="36" spans="2:25">
      <c r="B36" s="360">
        <v>42614</v>
      </c>
      <c r="C36" s="448">
        <v>14500</v>
      </c>
      <c r="D36" s="448">
        <v>17500</v>
      </c>
      <c r="E36" s="451">
        <f t="shared" si="0"/>
        <v>32000</v>
      </c>
    </row>
    <row r="37" spans="2:25">
      <c r="B37" s="794">
        <v>42705</v>
      </c>
      <c r="C37" s="799">
        <v>12225</v>
      </c>
      <c r="D37" s="799">
        <v>25000</v>
      </c>
      <c r="E37" s="800">
        <f t="shared" ref="E37:E68" si="1">C37+D37</f>
        <v>37225</v>
      </c>
      <c r="F37" s="616"/>
      <c r="G37" t="s">
        <v>95</v>
      </c>
    </row>
    <row r="38" spans="2:25">
      <c r="B38" s="360">
        <v>42795</v>
      </c>
      <c r="C38" s="448">
        <v>12350</v>
      </c>
      <c r="D38" s="448">
        <v>25000</v>
      </c>
      <c r="E38" s="451">
        <f t="shared" si="1"/>
        <v>37350</v>
      </c>
      <c r="N38" t="s">
        <v>96</v>
      </c>
    </row>
    <row r="39" spans="2:25">
      <c r="B39" s="360">
        <v>42887</v>
      </c>
      <c r="C39" s="448">
        <v>13225</v>
      </c>
      <c r="D39" s="448">
        <v>27000</v>
      </c>
      <c r="E39" s="451">
        <f t="shared" si="1"/>
        <v>40225</v>
      </c>
      <c r="F39" s="347"/>
    </row>
    <row r="40" spans="2:25">
      <c r="B40" s="360">
        <v>42979</v>
      </c>
      <c r="C40" s="448">
        <v>13750</v>
      </c>
      <c r="D40" s="448">
        <v>27500</v>
      </c>
      <c r="E40" s="451">
        <f t="shared" si="1"/>
        <v>41250</v>
      </c>
      <c r="Y40" t="s">
        <v>64</v>
      </c>
    </row>
    <row r="41" spans="2:25" s="74" customFormat="1" ht="21" customHeight="1" thickBot="1">
      <c r="B41" s="801">
        <v>43070</v>
      </c>
      <c r="C41" s="795">
        <v>14000</v>
      </c>
      <c r="D41" s="795">
        <v>29000</v>
      </c>
      <c r="E41" s="802">
        <f t="shared" si="1"/>
        <v>43000</v>
      </c>
      <c r="F41" s="803"/>
      <c r="H41" s="387"/>
      <c r="I41" s="363">
        <v>2025</v>
      </c>
      <c r="J41" s="348">
        <v>2024</v>
      </c>
      <c r="K41" s="363">
        <v>2023</v>
      </c>
      <c r="L41" s="348">
        <v>2022</v>
      </c>
      <c r="M41" s="363">
        <v>2021</v>
      </c>
      <c r="N41" s="348">
        <v>2020</v>
      </c>
      <c r="O41" s="349">
        <v>2019</v>
      </c>
      <c r="P41" s="348">
        <v>2018</v>
      </c>
      <c r="Q41" s="349">
        <v>2017</v>
      </c>
      <c r="R41" s="348">
        <v>2016</v>
      </c>
      <c r="S41" s="349">
        <v>2015</v>
      </c>
      <c r="T41" s="348">
        <v>2014</v>
      </c>
      <c r="U41" s="349">
        <v>2013</v>
      </c>
      <c r="V41" s="348">
        <v>2012</v>
      </c>
      <c r="W41" s="349">
        <v>2011</v>
      </c>
      <c r="Y41" s="812">
        <f>COUNTA(I41:X41)</f>
        <v>15</v>
      </c>
    </row>
    <row r="42" spans="2:25" ht="14" customHeight="1" thickBot="1">
      <c r="B42" s="360">
        <v>43160</v>
      </c>
      <c r="C42" s="446">
        <v>16250</v>
      </c>
      <c r="D42" s="446">
        <v>26000</v>
      </c>
      <c r="E42" s="452">
        <f t="shared" si="1"/>
        <v>42250</v>
      </c>
      <c r="F42" s="347"/>
      <c r="H42" s="388"/>
      <c r="I42" s="364"/>
      <c r="K42" s="364"/>
      <c r="M42" s="364"/>
      <c r="O42" s="350"/>
      <c r="Q42" s="350"/>
      <c r="S42" s="350"/>
      <c r="U42" s="350"/>
      <c r="W42" s="350"/>
    </row>
    <row r="43" spans="2:25">
      <c r="B43" s="360">
        <v>43252</v>
      </c>
      <c r="C43" s="446">
        <v>16750</v>
      </c>
      <c r="D43" s="446">
        <v>28000</v>
      </c>
      <c r="E43" s="452">
        <f t="shared" si="1"/>
        <v>44750</v>
      </c>
      <c r="H43" s="388"/>
      <c r="I43" s="364"/>
      <c r="K43" s="364"/>
      <c r="M43" s="364"/>
      <c r="O43" s="350"/>
      <c r="Q43" s="350"/>
      <c r="S43" s="350"/>
      <c r="U43" s="350"/>
      <c r="W43" s="350"/>
      <c r="X43" s="759" t="s">
        <v>0</v>
      </c>
    </row>
    <row r="44" spans="2:25" ht="17" customHeight="1" thickBot="1">
      <c r="B44" s="361">
        <v>43344</v>
      </c>
      <c r="C44" s="446">
        <v>17000</v>
      </c>
      <c r="D44" s="446">
        <v>28000</v>
      </c>
      <c r="E44" s="452">
        <f t="shared" si="1"/>
        <v>45000</v>
      </c>
      <c r="G44" s="351" t="s">
        <v>97</v>
      </c>
      <c r="H44" s="389"/>
      <c r="I44" s="396"/>
      <c r="J44" s="395">
        <v>44150</v>
      </c>
      <c r="K44" s="396">
        <v>37980</v>
      </c>
      <c r="L44" s="395">
        <v>37330</v>
      </c>
      <c r="M44" s="396">
        <v>35815</v>
      </c>
      <c r="N44" s="395">
        <v>32245</v>
      </c>
      <c r="O44" s="397">
        <v>31575</v>
      </c>
      <c r="P44" s="395">
        <v>31760</v>
      </c>
      <c r="Q44" s="397">
        <v>31130</v>
      </c>
      <c r="R44" s="395">
        <v>31625</v>
      </c>
      <c r="S44" s="397">
        <v>29035</v>
      </c>
      <c r="T44" s="395">
        <v>26300</v>
      </c>
      <c r="U44" s="397">
        <v>25875</v>
      </c>
      <c r="V44" s="395">
        <v>25750</v>
      </c>
      <c r="W44" s="397">
        <v>19720</v>
      </c>
      <c r="X44" s="760">
        <f>SUM(I44:W44)</f>
        <v>440290</v>
      </c>
      <c r="Y44" t="s">
        <v>86</v>
      </c>
    </row>
    <row r="45" spans="2:25" ht="14" customHeight="1" thickBot="1">
      <c r="B45" s="801">
        <v>43435</v>
      </c>
      <c r="C45" s="795">
        <v>19250</v>
      </c>
      <c r="D45" s="795">
        <v>25000</v>
      </c>
      <c r="E45" s="802">
        <f t="shared" si="1"/>
        <v>44250</v>
      </c>
      <c r="F45" s="616"/>
      <c r="G45" s="352"/>
      <c r="H45" s="390" t="s">
        <v>98</v>
      </c>
      <c r="I45" s="399"/>
      <c r="J45" s="398"/>
      <c r="K45" s="399"/>
      <c r="L45" s="398">
        <v>575</v>
      </c>
      <c r="M45" s="399"/>
      <c r="N45" s="398"/>
      <c r="O45" s="400"/>
      <c r="P45" s="398"/>
      <c r="Q45" s="400"/>
      <c r="R45" s="398"/>
      <c r="S45" s="400"/>
      <c r="T45" s="398"/>
      <c r="U45" s="400"/>
      <c r="V45" s="398"/>
      <c r="W45" s="400"/>
      <c r="X45" s="404"/>
    </row>
    <row r="46" spans="2:25">
      <c r="B46" s="361">
        <v>43466</v>
      </c>
      <c r="C46" s="446">
        <v>19600</v>
      </c>
      <c r="D46" s="446">
        <v>24100</v>
      </c>
      <c r="E46" s="452">
        <f t="shared" si="1"/>
        <v>43700</v>
      </c>
      <c r="G46" t="s">
        <v>99</v>
      </c>
      <c r="H46" s="390"/>
      <c r="I46" s="399"/>
      <c r="J46">
        <v>3048</v>
      </c>
      <c r="K46" s="399">
        <v>4345</v>
      </c>
      <c r="M46" s="399"/>
      <c r="O46" s="400"/>
      <c r="Q46" s="400"/>
      <c r="S46" s="400"/>
      <c r="U46" s="400"/>
      <c r="W46" s="400"/>
      <c r="X46" s="405">
        <f>SUM(I46:W46)</f>
        <v>7393</v>
      </c>
    </row>
    <row r="47" spans="2:25" ht="14" customHeight="1" thickBot="1">
      <c r="B47" s="361">
        <v>43525</v>
      </c>
      <c r="C47" s="446">
        <v>20200</v>
      </c>
      <c r="D47" s="446">
        <v>22500</v>
      </c>
      <c r="E47" s="452">
        <f t="shared" si="1"/>
        <v>42700</v>
      </c>
      <c r="G47" s="352" t="s">
        <v>100</v>
      </c>
      <c r="H47" s="390"/>
      <c r="I47" s="399"/>
      <c r="J47" s="398"/>
      <c r="K47" s="399"/>
      <c r="L47" s="398"/>
      <c r="M47" s="399"/>
      <c r="N47" s="398"/>
      <c r="O47" s="400"/>
      <c r="P47" s="398"/>
      <c r="Q47" s="400"/>
      <c r="R47" s="398"/>
      <c r="S47" s="400"/>
      <c r="T47" s="398"/>
      <c r="U47" s="400"/>
      <c r="V47" s="398"/>
      <c r="W47" s="400"/>
      <c r="X47" s="404"/>
    </row>
    <row r="48" spans="2:25" ht="14" customHeight="1" thickBot="1">
      <c r="B48" s="361">
        <v>43586</v>
      </c>
      <c r="C48" s="446">
        <v>21000</v>
      </c>
      <c r="D48" s="446">
        <v>23000</v>
      </c>
      <c r="E48" s="452">
        <f t="shared" si="1"/>
        <v>44000</v>
      </c>
      <c r="G48" s="352"/>
      <c r="H48" s="391" t="s">
        <v>101</v>
      </c>
      <c r="I48" s="411"/>
      <c r="J48" s="411">
        <v>2650</v>
      </c>
      <c r="K48" s="411">
        <v>11360</v>
      </c>
      <c r="L48" s="411">
        <v>400</v>
      </c>
      <c r="M48" s="411">
        <v>2350</v>
      </c>
      <c r="N48" s="411">
        <v>2175</v>
      </c>
      <c r="O48" s="411">
        <v>3450</v>
      </c>
      <c r="P48" s="412">
        <v>0</v>
      </c>
      <c r="Q48" s="411">
        <v>0</v>
      </c>
      <c r="R48" s="412">
        <v>10600</v>
      </c>
      <c r="S48" s="411">
        <v>0</v>
      </c>
      <c r="T48" s="411">
        <v>0</v>
      </c>
      <c r="U48" s="411">
        <v>9300</v>
      </c>
      <c r="V48" s="411">
        <v>0</v>
      </c>
      <c r="W48" s="411">
        <v>0</v>
      </c>
      <c r="X48" s="454">
        <f t="shared" ref="X48:X62" si="2">SUM(I48:W48)</f>
        <v>42285</v>
      </c>
      <c r="Y48" t="s">
        <v>102</v>
      </c>
    </row>
    <row r="49" spans="2:25">
      <c r="B49" s="361">
        <v>43647</v>
      </c>
      <c r="C49" s="446">
        <v>21100</v>
      </c>
      <c r="D49" s="446">
        <v>25500</v>
      </c>
      <c r="E49" s="452">
        <f t="shared" si="1"/>
        <v>46600</v>
      </c>
      <c r="G49" s="352"/>
      <c r="H49" s="391" t="s">
        <v>103</v>
      </c>
      <c r="I49" s="399"/>
      <c r="J49" s="398">
        <v>370</v>
      </c>
      <c r="K49" s="399">
        <v>220</v>
      </c>
      <c r="L49" s="398">
        <v>175</v>
      </c>
      <c r="M49" s="399">
        <v>60</v>
      </c>
      <c r="N49" s="398">
        <v>245</v>
      </c>
      <c r="O49" s="400">
        <v>950</v>
      </c>
      <c r="P49" s="401">
        <v>900</v>
      </c>
      <c r="Q49" s="400">
        <v>1075</v>
      </c>
      <c r="R49" s="401">
        <v>950</v>
      </c>
      <c r="S49" s="400">
        <v>1000</v>
      </c>
      <c r="T49" s="398">
        <v>950</v>
      </c>
      <c r="U49" s="400">
        <v>1450</v>
      </c>
      <c r="V49" s="398">
        <v>1430</v>
      </c>
      <c r="W49" s="400">
        <v>650</v>
      </c>
      <c r="X49" s="405">
        <f t="shared" si="2"/>
        <v>10425</v>
      </c>
    </row>
    <row r="50" spans="2:25">
      <c r="B50" s="360">
        <v>43709</v>
      </c>
      <c r="C50" s="446">
        <v>21500</v>
      </c>
      <c r="D50" s="446">
        <v>24500</v>
      </c>
      <c r="E50" s="452">
        <f t="shared" si="1"/>
        <v>46000</v>
      </c>
      <c r="G50" s="352"/>
      <c r="H50" s="391" t="s">
        <v>104</v>
      </c>
      <c r="I50" s="399"/>
      <c r="J50" s="398">
        <v>70</v>
      </c>
      <c r="K50" s="399">
        <v>290</v>
      </c>
      <c r="L50" s="398">
        <v>70</v>
      </c>
      <c r="M50" s="399">
        <v>150</v>
      </c>
      <c r="N50" s="398">
        <v>70</v>
      </c>
      <c r="O50" s="400">
        <v>70</v>
      </c>
      <c r="P50" s="401">
        <v>70</v>
      </c>
      <c r="Q50" s="400">
        <v>70</v>
      </c>
      <c r="R50" s="401">
        <v>125</v>
      </c>
      <c r="S50" s="400">
        <v>70</v>
      </c>
      <c r="T50" s="398">
        <v>70</v>
      </c>
      <c r="U50" s="400">
        <v>70</v>
      </c>
      <c r="V50" s="398">
        <v>90</v>
      </c>
      <c r="W50" s="400">
        <v>70</v>
      </c>
      <c r="X50" s="405">
        <f t="shared" si="2"/>
        <v>1355</v>
      </c>
    </row>
    <row r="51" spans="2:25">
      <c r="B51" s="360">
        <v>43770</v>
      </c>
      <c r="C51" s="446">
        <v>22100</v>
      </c>
      <c r="D51" s="446">
        <v>25500</v>
      </c>
      <c r="E51" s="452">
        <f t="shared" si="1"/>
        <v>47600</v>
      </c>
      <c r="G51" s="352"/>
      <c r="H51" s="391" t="s">
        <v>105</v>
      </c>
      <c r="I51" s="399"/>
      <c r="J51" s="398">
        <v>15</v>
      </c>
      <c r="K51" s="399">
        <v>20</v>
      </c>
      <c r="L51" s="398">
        <v>30</v>
      </c>
      <c r="M51" s="399">
        <v>165</v>
      </c>
      <c r="N51" s="398">
        <v>0</v>
      </c>
      <c r="O51" s="400">
        <v>155</v>
      </c>
      <c r="P51" s="401">
        <v>525</v>
      </c>
      <c r="Q51" s="400">
        <v>165</v>
      </c>
      <c r="R51" s="401">
        <v>0</v>
      </c>
      <c r="S51" s="400">
        <v>255</v>
      </c>
      <c r="T51" s="398">
        <v>270</v>
      </c>
      <c r="U51" s="400">
        <v>85</v>
      </c>
      <c r="V51" s="398">
        <v>360</v>
      </c>
      <c r="W51" s="400">
        <v>100</v>
      </c>
      <c r="X51" s="405">
        <f t="shared" si="2"/>
        <v>2145</v>
      </c>
    </row>
    <row r="52" spans="2:25" ht="14" customHeight="1" thickBot="1">
      <c r="B52" s="794">
        <v>43800</v>
      </c>
      <c r="C52" s="795">
        <v>22200</v>
      </c>
      <c r="D52" s="795">
        <v>28000</v>
      </c>
      <c r="E52" s="802">
        <f t="shared" si="1"/>
        <v>50200</v>
      </c>
      <c r="F52" s="616"/>
      <c r="G52" s="352"/>
      <c r="H52" s="391" t="s">
        <v>106</v>
      </c>
      <c r="I52" s="399"/>
      <c r="J52" s="398">
        <v>0</v>
      </c>
      <c r="K52" s="399">
        <v>35</v>
      </c>
      <c r="L52" s="398">
        <v>45</v>
      </c>
      <c r="M52" s="399">
        <v>0</v>
      </c>
      <c r="N52" s="398">
        <v>75</v>
      </c>
      <c r="O52" s="400">
        <v>100</v>
      </c>
      <c r="P52" s="401">
        <v>300</v>
      </c>
      <c r="Q52" s="400">
        <v>160</v>
      </c>
      <c r="R52" s="401">
        <v>150</v>
      </c>
      <c r="S52" s="400">
        <v>50</v>
      </c>
      <c r="T52" s="398">
        <v>220</v>
      </c>
      <c r="U52" s="400">
        <v>70</v>
      </c>
      <c r="V52" s="398">
        <v>50</v>
      </c>
      <c r="W52" s="400">
        <v>25</v>
      </c>
      <c r="X52" s="405">
        <f t="shared" si="2"/>
        <v>1280</v>
      </c>
    </row>
    <row r="53" spans="2:25" ht="14" customHeight="1" thickBot="1">
      <c r="B53" s="360">
        <v>43831</v>
      </c>
      <c r="C53" s="446">
        <v>22650</v>
      </c>
      <c r="D53" s="446">
        <v>27000</v>
      </c>
      <c r="E53" s="452">
        <f t="shared" si="1"/>
        <v>49650</v>
      </c>
      <c r="G53" s="352" t="s">
        <v>107</v>
      </c>
      <c r="H53" s="391"/>
      <c r="I53" s="399"/>
      <c r="J53" s="398">
        <v>5475</v>
      </c>
      <c r="K53" s="399">
        <v>4550</v>
      </c>
      <c r="L53" s="398">
        <v>3840</v>
      </c>
      <c r="M53" s="399">
        <v>3655</v>
      </c>
      <c r="N53" s="398">
        <v>2925</v>
      </c>
      <c r="O53" s="400">
        <v>2150</v>
      </c>
      <c r="P53" s="401">
        <v>1770</v>
      </c>
      <c r="Q53" s="400">
        <v>2475</v>
      </c>
      <c r="R53" s="401">
        <v>1815</v>
      </c>
      <c r="S53" s="400">
        <v>1425</v>
      </c>
      <c r="T53" s="398">
        <v>1275</v>
      </c>
      <c r="U53" s="400">
        <v>1100</v>
      </c>
      <c r="V53" s="398">
        <v>1665</v>
      </c>
      <c r="W53" s="400">
        <v>2700</v>
      </c>
      <c r="X53" s="454">
        <f t="shared" si="2"/>
        <v>36820</v>
      </c>
      <c r="Y53" t="s">
        <v>108</v>
      </c>
    </row>
    <row r="54" spans="2:25">
      <c r="B54" s="360">
        <v>43891</v>
      </c>
      <c r="C54" s="446">
        <v>22650</v>
      </c>
      <c r="D54" s="446">
        <v>26500</v>
      </c>
      <c r="E54" s="452">
        <f t="shared" si="1"/>
        <v>49150</v>
      </c>
      <c r="G54" s="352" t="s">
        <v>109</v>
      </c>
      <c r="H54" s="390"/>
      <c r="I54" s="399"/>
      <c r="J54" s="398">
        <v>685</v>
      </c>
      <c r="K54" s="399">
        <v>450</v>
      </c>
      <c r="L54" s="398">
        <v>285</v>
      </c>
      <c r="M54" s="399">
        <v>205</v>
      </c>
      <c r="N54" s="398">
        <v>335</v>
      </c>
      <c r="O54" s="400">
        <v>375</v>
      </c>
      <c r="P54" s="401">
        <v>300</v>
      </c>
      <c r="Q54" s="400">
        <v>325</v>
      </c>
      <c r="R54" s="401">
        <v>375</v>
      </c>
      <c r="S54" s="400">
        <v>350</v>
      </c>
      <c r="T54" s="398">
        <v>875</v>
      </c>
      <c r="U54" s="400">
        <v>605</v>
      </c>
      <c r="V54" s="398">
        <v>775</v>
      </c>
      <c r="W54" s="400">
        <v>625</v>
      </c>
      <c r="X54" s="405">
        <f t="shared" si="2"/>
        <v>6565</v>
      </c>
      <c r="Y54" t="s">
        <v>110</v>
      </c>
    </row>
    <row r="55" spans="2:25">
      <c r="B55" s="360">
        <v>43952</v>
      </c>
      <c r="C55" s="446">
        <v>22500</v>
      </c>
      <c r="D55" s="446">
        <v>28500</v>
      </c>
      <c r="E55" s="452">
        <f t="shared" si="1"/>
        <v>51000</v>
      </c>
      <c r="H55" s="393" t="s">
        <v>111</v>
      </c>
      <c r="I55" s="399"/>
      <c r="J55" s="398"/>
      <c r="K55" s="399">
        <v>5</v>
      </c>
      <c r="L55" s="398">
        <v>5</v>
      </c>
      <c r="M55" s="399">
        <v>280</v>
      </c>
      <c r="N55" s="398">
        <v>280</v>
      </c>
      <c r="O55" s="400">
        <v>615</v>
      </c>
      <c r="P55" s="401">
        <v>600</v>
      </c>
      <c r="Q55" s="400">
        <v>725</v>
      </c>
      <c r="R55" s="401">
        <v>675</v>
      </c>
      <c r="S55" s="400">
        <v>325</v>
      </c>
      <c r="T55" s="398">
        <v>555</v>
      </c>
      <c r="U55" s="400">
        <v>110</v>
      </c>
      <c r="V55" s="398">
        <v>210</v>
      </c>
      <c r="W55" s="400">
        <v>1000</v>
      </c>
      <c r="X55" s="405">
        <f t="shared" si="2"/>
        <v>5385</v>
      </c>
    </row>
    <row r="56" spans="2:25">
      <c r="B56" s="360">
        <v>44013</v>
      </c>
      <c r="C56" s="446">
        <v>23000</v>
      </c>
      <c r="D56" s="446">
        <v>28500</v>
      </c>
      <c r="E56" s="452">
        <f t="shared" si="1"/>
        <v>51500</v>
      </c>
      <c r="G56" s="352" t="s">
        <v>112</v>
      </c>
      <c r="H56" s="390"/>
      <c r="I56" s="399"/>
      <c r="J56" s="398">
        <v>1245</v>
      </c>
      <c r="K56" s="399">
        <v>1095</v>
      </c>
      <c r="L56" s="398">
        <v>1195</v>
      </c>
      <c r="M56" s="399">
        <v>1345</v>
      </c>
      <c r="N56" s="398">
        <v>1360</v>
      </c>
      <c r="O56" s="400">
        <v>1350</v>
      </c>
      <c r="P56" s="401">
        <v>1200</v>
      </c>
      <c r="Q56" s="400">
        <v>1150</v>
      </c>
      <c r="R56" s="401">
        <v>1475</v>
      </c>
      <c r="S56" s="400">
        <v>250</v>
      </c>
      <c r="T56" s="398">
        <v>1125</v>
      </c>
      <c r="U56" s="400">
        <v>900</v>
      </c>
      <c r="V56" s="398">
        <v>900</v>
      </c>
      <c r="W56" s="400">
        <v>860</v>
      </c>
      <c r="X56" s="405">
        <f t="shared" si="2"/>
        <v>15450</v>
      </c>
      <c r="Y56" t="s">
        <v>113</v>
      </c>
    </row>
    <row r="57" spans="2:25" ht="14" customHeight="1" thickBot="1">
      <c r="B57" s="360">
        <v>44075</v>
      </c>
      <c r="C57" s="446">
        <v>24000</v>
      </c>
      <c r="D57" s="446">
        <v>29000</v>
      </c>
      <c r="E57" s="452">
        <f t="shared" si="1"/>
        <v>53000</v>
      </c>
      <c r="G57" s="352" t="s">
        <v>114</v>
      </c>
      <c r="H57" s="390"/>
      <c r="I57" s="399"/>
      <c r="J57" s="398">
        <v>470</v>
      </c>
      <c r="K57" s="399">
        <v>465</v>
      </c>
      <c r="L57" s="398">
        <v>420</v>
      </c>
      <c r="M57" s="399">
        <v>420</v>
      </c>
      <c r="N57" s="398">
        <v>410</v>
      </c>
      <c r="O57" s="400">
        <v>370</v>
      </c>
      <c r="P57" s="401">
        <v>575</v>
      </c>
      <c r="Q57" s="400">
        <v>525</v>
      </c>
      <c r="R57" s="401">
        <v>300</v>
      </c>
      <c r="S57" s="400">
        <v>775</v>
      </c>
      <c r="T57" s="398">
        <v>575</v>
      </c>
      <c r="U57" s="400">
        <v>610</v>
      </c>
      <c r="V57" s="398">
        <v>855</v>
      </c>
      <c r="W57" s="400">
        <v>1270</v>
      </c>
      <c r="X57" s="405">
        <f t="shared" si="2"/>
        <v>8040</v>
      </c>
      <c r="Y57" t="s">
        <v>115</v>
      </c>
    </row>
    <row r="58" spans="2:25" ht="14" customHeight="1" thickBot="1">
      <c r="B58" s="360">
        <v>44105</v>
      </c>
      <c r="C58" s="446">
        <v>23850</v>
      </c>
      <c r="D58" s="446">
        <v>31500</v>
      </c>
      <c r="E58" s="452">
        <f t="shared" si="1"/>
        <v>55350</v>
      </c>
      <c r="G58" s="352" t="s">
        <v>23</v>
      </c>
      <c r="H58" s="390"/>
      <c r="I58" s="411"/>
      <c r="J58" s="411">
        <v>10740</v>
      </c>
      <c r="K58" s="411">
        <v>10440</v>
      </c>
      <c r="L58" s="411">
        <v>9940</v>
      </c>
      <c r="M58" s="411">
        <v>9840</v>
      </c>
      <c r="N58" s="411">
        <v>9675</v>
      </c>
      <c r="O58" s="411">
        <v>9840</v>
      </c>
      <c r="P58" s="412">
        <v>9550</v>
      </c>
      <c r="Q58" s="411">
        <v>9125</v>
      </c>
      <c r="R58" s="412">
        <v>8900</v>
      </c>
      <c r="S58" s="411">
        <v>8900</v>
      </c>
      <c r="T58" s="411">
        <v>11225</v>
      </c>
      <c r="U58" s="411">
        <v>8650</v>
      </c>
      <c r="V58" s="411">
        <v>12000</v>
      </c>
      <c r="W58" s="411">
        <v>8570</v>
      </c>
      <c r="X58" s="453">
        <f t="shared" si="2"/>
        <v>137395</v>
      </c>
      <c r="Y58" t="s">
        <v>116</v>
      </c>
    </row>
    <row r="59" spans="2:25" ht="14" customHeight="1" thickBot="1">
      <c r="B59" s="794">
        <v>44166</v>
      </c>
      <c r="C59" s="795">
        <v>24750</v>
      </c>
      <c r="D59" s="795">
        <v>32500</v>
      </c>
      <c r="E59" s="796">
        <f t="shared" si="1"/>
        <v>57250</v>
      </c>
      <c r="F59" s="616"/>
      <c r="G59" s="352" t="s">
        <v>117</v>
      </c>
      <c r="H59" s="390"/>
      <c r="I59" s="399"/>
      <c r="J59" s="398">
        <v>2280</v>
      </c>
      <c r="K59" s="399">
        <v>5</v>
      </c>
      <c r="L59" s="398">
        <v>385</v>
      </c>
      <c r="M59" s="399">
        <v>1970</v>
      </c>
      <c r="N59" s="398">
        <v>320</v>
      </c>
      <c r="O59" s="400">
        <v>475</v>
      </c>
      <c r="P59" s="401">
        <v>450</v>
      </c>
      <c r="Q59" s="400">
        <v>275</v>
      </c>
      <c r="R59" s="401">
        <v>1550</v>
      </c>
      <c r="S59" s="400">
        <v>575</v>
      </c>
      <c r="T59" s="398">
        <v>4000</v>
      </c>
      <c r="U59" s="400">
        <v>600</v>
      </c>
      <c r="V59" s="398">
        <v>4800</v>
      </c>
      <c r="W59" s="400">
        <v>700</v>
      </c>
      <c r="X59" s="454">
        <f t="shared" si="2"/>
        <v>18385</v>
      </c>
      <c r="Y59" t="s">
        <v>118</v>
      </c>
    </row>
    <row r="60" spans="2:25">
      <c r="B60" s="360">
        <v>44197</v>
      </c>
      <c r="C60" s="448">
        <v>26000</v>
      </c>
      <c r="D60" s="448">
        <v>36000</v>
      </c>
      <c r="E60" s="451">
        <f t="shared" si="1"/>
        <v>62000</v>
      </c>
      <c r="F60" s="353"/>
      <c r="G60" s="352" t="s">
        <v>45</v>
      </c>
      <c r="H60" s="390"/>
      <c r="I60" s="399"/>
      <c r="J60" s="398">
        <v>875</v>
      </c>
      <c r="K60" s="399">
        <v>2445</v>
      </c>
      <c r="L60" s="398">
        <v>2845</v>
      </c>
      <c r="M60" s="399">
        <v>2780</v>
      </c>
      <c r="N60" s="398">
        <v>800</v>
      </c>
      <c r="O60" s="400">
        <v>1425</v>
      </c>
      <c r="P60" s="401">
        <v>1650</v>
      </c>
      <c r="Q60" s="400">
        <v>975</v>
      </c>
      <c r="R60" s="401">
        <v>1015</v>
      </c>
      <c r="S60" s="400">
        <v>500</v>
      </c>
      <c r="T60" s="398">
        <v>400</v>
      </c>
      <c r="U60" s="400">
        <v>250</v>
      </c>
      <c r="V60" s="398"/>
      <c r="W60" s="400"/>
      <c r="X60" s="405">
        <f t="shared" si="2"/>
        <v>15960</v>
      </c>
      <c r="Y60" t="s">
        <v>119</v>
      </c>
    </row>
    <row r="61" spans="2:25">
      <c r="B61" s="360">
        <v>44256</v>
      </c>
      <c r="C61" s="448">
        <v>26025</v>
      </c>
      <c r="D61" s="448">
        <v>37000</v>
      </c>
      <c r="E61" s="451">
        <f t="shared" si="1"/>
        <v>63025</v>
      </c>
      <c r="G61" s="352" t="s">
        <v>104</v>
      </c>
      <c r="H61" s="390"/>
      <c r="I61" s="399"/>
      <c r="J61" s="398">
        <v>-70</v>
      </c>
      <c r="K61" s="399">
        <v>35</v>
      </c>
      <c r="L61" s="398">
        <v>-575</v>
      </c>
      <c r="M61" s="399">
        <v>210</v>
      </c>
      <c r="N61" s="398">
        <v>105</v>
      </c>
      <c r="O61" s="400">
        <v>0</v>
      </c>
      <c r="P61" s="401">
        <v>0</v>
      </c>
      <c r="Q61" s="400">
        <v>0</v>
      </c>
      <c r="R61" s="401">
        <v>0</v>
      </c>
      <c r="S61" s="400">
        <v>100</v>
      </c>
      <c r="T61" s="398">
        <v>4500</v>
      </c>
      <c r="U61" s="400">
        <v>260</v>
      </c>
      <c r="V61" s="398">
        <v>750</v>
      </c>
      <c r="W61" s="400">
        <v>1900</v>
      </c>
      <c r="X61" s="405">
        <f t="shared" si="2"/>
        <v>7215</v>
      </c>
      <c r="Y61" t="s">
        <v>120</v>
      </c>
    </row>
    <row r="62" spans="2:25">
      <c r="B62" s="360">
        <v>44317</v>
      </c>
      <c r="C62" s="448">
        <v>16400</v>
      </c>
      <c r="D62" s="448">
        <v>49000</v>
      </c>
      <c r="E62" s="451">
        <f t="shared" si="1"/>
        <v>65400</v>
      </c>
      <c r="G62" s="352" t="s">
        <v>121</v>
      </c>
      <c r="H62" s="390"/>
      <c r="I62" s="399"/>
      <c r="J62" s="398">
        <v>730</v>
      </c>
      <c r="K62" s="399">
        <v>670</v>
      </c>
      <c r="L62" s="398">
        <v>800</v>
      </c>
      <c r="M62" s="399">
        <v>600</v>
      </c>
      <c r="N62" s="398">
        <v>580</v>
      </c>
      <c r="O62" s="400">
        <v>725</v>
      </c>
      <c r="P62" s="401">
        <v>1025</v>
      </c>
      <c r="Q62" s="400">
        <v>825</v>
      </c>
      <c r="R62" s="401">
        <v>575</v>
      </c>
      <c r="S62" s="400">
        <v>415</v>
      </c>
      <c r="T62" s="398">
        <v>725</v>
      </c>
      <c r="U62" s="400">
        <v>475</v>
      </c>
      <c r="V62" s="398">
        <v>560</v>
      </c>
      <c r="W62" s="400">
        <v>425</v>
      </c>
      <c r="X62" s="405">
        <f t="shared" si="2"/>
        <v>9130</v>
      </c>
      <c r="Y62" t="s">
        <v>122</v>
      </c>
    </row>
    <row r="63" spans="2:25" ht="14" customHeight="1" thickBot="1">
      <c r="B63" s="360">
        <v>44378</v>
      </c>
      <c r="C63" s="448">
        <v>16375</v>
      </c>
      <c r="D63" s="890">
        <v>50000</v>
      </c>
      <c r="E63" s="451">
        <f t="shared" si="1"/>
        <v>66375</v>
      </c>
      <c r="G63" s="352" t="s">
        <v>123</v>
      </c>
      <c r="H63" s="390"/>
      <c r="I63" s="399"/>
      <c r="J63" s="398"/>
      <c r="K63" s="399"/>
      <c r="L63" s="398"/>
      <c r="M63" s="399"/>
      <c r="N63" s="398"/>
      <c r="O63" s="400"/>
      <c r="P63" s="401"/>
      <c r="Q63" s="400"/>
      <c r="R63" s="401"/>
      <c r="S63" s="400"/>
      <c r="T63" s="398"/>
      <c r="U63" s="400"/>
      <c r="V63" s="398"/>
      <c r="W63" s="400"/>
      <c r="X63" s="405"/>
    </row>
    <row r="64" spans="2:25" ht="14" customHeight="1" thickBot="1">
      <c r="B64" s="360">
        <v>44440</v>
      </c>
      <c r="C64" s="448">
        <v>17150</v>
      </c>
      <c r="D64" s="448">
        <v>48000</v>
      </c>
      <c r="E64" s="451">
        <f t="shared" si="1"/>
        <v>65150</v>
      </c>
      <c r="G64" s="352"/>
      <c r="H64" s="390" t="s">
        <v>124</v>
      </c>
      <c r="I64" s="399"/>
      <c r="J64" s="398">
        <v>1420</v>
      </c>
      <c r="K64" s="399">
        <v>1685</v>
      </c>
      <c r="L64" s="398">
        <v>1950</v>
      </c>
      <c r="M64" s="399">
        <v>910</v>
      </c>
      <c r="N64" s="398">
        <v>720</v>
      </c>
      <c r="O64" s="400">
        <v>1700</v>
      </c>
      <c r="P64" s="401">
        <v>1175</v>
      </c>
      <c r="Q64" s="400">
        <v>1455</v>
      </c>
      <c r="R64" s="401">
        <v>1150</v>
      </c>
      <c r="S64" s="400">
        <v>1000</v>
      </c>
      <c r="T64" s="398">
        <v>1400</v>
      </c>
      <c r="U64" s="400">
        <v>1800</v>
      </c>
      <c r="V64" s="398">
        <v>2115</v>
      </c>
      <c r="W64" s="400">
        <v>1850</v>
      </c>
      <c r="X64" s="454">
        <f t="shared" ref="X64:X73" si="3">SUM(I64:W64)</f>
        <v>20330</v>
      </c>
      <c r="Y64" t="s">
        <v>125</v>
      </c>
    </row>
    <row r="65" spans="2:25">
      <c r="B65" s="360">
        <v>44470</v>
      </c>
      <c r="C65" s="446">
        <v>17000</v>
      </c>
      <c r="D65" s="446">
        <v>49000</v>
      </c>
      <c r="E65" s="451">
        <f t="shared" si="1"/>
        <v>66000</v>
      </c>
      <c r="G65" s="352"/>
      <c r="H65" s="390" t="s">
        <v>19</v>
      </c>
      <c r="I65" s="399"/>
      <c r="J65" s="398">
        <v>890</v>
      </c>
      <c r="K65" s="399">
        <v>255</v>
      </c>
      <c r="L65" s="398">
        <v>625</v>
      </c>
      <c r="M65" s="399">
        <v>430</v>
      </c>
      <c r="N65" s="398">
        <v>180</v>
      </c>
      <c r="O65" s="400">
        <v>900</v>
      </c>
      <c r="P65" s="401">
        <v>1125</v>
      </c>
      <c r="Q65" s="400">
        <v>1000</v>
      </c>
      <c r="R65" s="401">
        <v>700</v>
      </c>
      <c r="S65" s="400">
        <v>250</v>
      </c>
      <c r="T65" s="398">
        <v>300</v>
      </c>
      <c r="U65" s="400">
        <v>200</v>
      </c>
      <c r="V65" s="398">
        <v>180</v>
      </c>
      <c r="W65" s="400">
        <v>1410</v>
      </c>
      <c r="X65" s="405">
        <f t="shared" si="3"/>
        <v>8445</v>
      </c>
      <c r="Y65" t="s">
        <v>126</v>
      </c>
    </row>
    <row r="66" spans="2:25" ht="14" customHeight="1" thickBot="1">
      <c r="B66" s="794">
        <v>44531</v>
      </c>
      <c r="C66" s="799">
        <v>17250</v>
      </c>
      <c r="D66" s="799">
        <v>47350</v>
      </c>
      <c r="E66" s="800">
        <f t="shared" si="1"/>
        <v>64600</v>
      </c>
      <c r="F66" s="616"/>
      <c r="G66" s="352" t="s">
        <v>127</v>
      </c>
      <c r="H66" s="390"/>
      <c r="I66" s="399"/>
      <c r="J66" s="398">
        <v>315</v>
      </c>
      <c r="K66" s="399">
        <v>1220</v>
      </c>
      <c r="L66" s="398">
        <v>695</v>
      </c>
      <c r="M66" s="399">
        <v>445</v>
      </c>
      <c r="N66" s="398">
        <v>1280</v>
      </c>
      <c r="O66" s="400">
        <v>1000</v>
      </c>
      <c r="P66" s="401">
        <v>550</v>
      </c>
      <c r="Q66" s="400">
        <v>1075</v>
      </c>
      <c r="R66" s="401">
        <v>1025</v>
      </c>
      <c r="S66" s="400">
        <v>1175</v>
      </c>
      <c r="T66" s="398">
        <v>300</v>
      </c>
      <c r="U66" s="400">
        <v>850</v>
      </c>
      <c r="V66" s="398">
        <v>950</v>
      </c>
      <c r="W66" s="400">
        <v>1450</v>
      </c>
      <c r="X66" s="405">
        <f t="shared" si="3"/>
        <v>12330</v>
      </c>
      <c r="Y66" t="s">
        <v>128</v>
      </c>
    </row>
    <row r="67" spans="2:25">
      <c r="B67" s="360">
        <v>44562</v>
      </c>
      <c r="C67" s="448">
        <v>18115</v>
      </c>
      <c r="D67" s="448">
        <v>48000</v>
      </c>
      <c r="E67" s="451">
        <f t="shared" si="1"/>
        <v>66115</v>
      </c>
      <c r="G67" s="352" t="s">
        <v>129</v>
      </c>
      <c r="H67" s="390"/>
      <c r="I67" s="399"/>
      <c r="J67" s="398">
        <v>5785</v>
      </c>
      <c r="K67" s="399">
        <v>215</v>
      </c>
      <c r="L67" s="398">
        <v>150</v>
      </c>
      <c r="M67" s="399">
        <v>170</v>
      </c>
      <c r="N67" s="398">
        <v>750</v>
      </c>
      <c r="O67" s="400">
        <v>125</v>
      </c>
      <c r="P67" s="401">
        <v>175</v>
      </c>
      <c r="Q67" s="400">
        <v>135</v>
      </c>
      <c r="R67" s="401">
        <v>75</v>
      </c>
      <c r="S67" s="400">
        <v>500</v>
      </c>
      <c r="T67" s="398">
        <v>115</v>
      </c>
      <c r="U67" s="400">
        <v>625</v>
      </c>
      <c r="V67" s="398">
        <v>215</v>
      </c>
      <c r="W67" s="400">
        <v>100</v>
      </c>
      <c r="X67" s="405">
        <f t="shared" si="3"/>
        <v>9135</v>
      </c>
      <c r="Y67" t="s">
        <v>130</v>
      </c>
    </row>
    <row r="68" spans="2:25">
      <c r="B68" s="360">
        <v>44621</v>
      </c>
      <c r="C68" s="448">
        <v>16450</v>
      </c>
      <c r="D68" s="448">
        <v>41750</v>
      </c>
      <c r="E68" s="451">
        <f t="shared" si="1"/>
        <v>58200</v>
      </c>
      <c r="G68" s="352" t="s">
        <v>131</v>
      </c>
      <c r="H68" s="390"/>
      <c r="I68" s="399"/>
      <c r="J68" s="398">
        <v>880</v>
      </c>
      <c r="K68" s="399">
        <v>430</v>
      </c>
      <c r="L68" s="398">
        <v>385</v>
      </c>
      <c r="M68" s="399">
        <v>355</v>
      </c>
      <c r="N68" s="398">
        <v>385</v>
      </c>
      <c r="O68" s="400">
        <v>395</v>
      </c>
      <c r="P68" s="401">
        <v>900</v>
      </c>
      <c r="Q68" s="400">
        <v>875</v>
      </c>
      <c r="R68" s="401">
        <v>850</v>
      </c>
      <c r="S68" s="400">
        <v>775</v>
      </c>
      <c r="T68" s="398">
        <v>745</v>
      </c>
      <c r="U68" s="400">
        <v>805</v>
      </c>
      <c r="V68" s="398">
        <v>755</v>
      </c>
      <c r="W68" s="400">
        <v>725</v>
      </c>
      <c r="X68" s="405">
        <f t="shared" si="3"/>
        <v>9260</v>
      </c>
      <c r="Y68" t="s">
        <v>132</v>
      </c>
    </row>
    <row r="69" spans="2:25" ht="14" customHeight="1" thickBot="1">
      <c r="B69" s="360">
        <v>44682</v>
      </c>
      <c r="C69" s="448">
        <v>15000</v>
      </c>
      <c r="D69" s="448">
        <v>50000</v>
      </c>
      <c r="E69" s="451">
        <f t="shared" ref="E69:E90" si="4">C69+D69</f>
        <v>65000</v>
      </c>
      <c r="G69" s="352" t="s">
        <v>27</v>
      </c>
      <c r="H69" s="390"/>
      <c r="I69" s="399"/>
      <c r="J69" s="398">
        <v>0</v>
      </c>
      <c r="K69" s="399">
        <v>0</v>
      </c>
      <c r="L69" s="398">
        <v>0</v>
      </c>
      <c r="M69" s="399">
        <v>10</v>
      </c>
      <c r="N69" s="398">
        <v>0</v>
      </c>
      <c r="O69" s="400">
        <v>70</v>
      </c>
      <c r="P69" s="401">
        <v>0</v>
      </c>
      <c r="Q69" s="400">
        <v>65</v>
      </c>
      <c r="R69" s="401">
        <v>325</v>
      </c>
      <c r="S69" s="400">
        <v>300</v>
      </c>
      <c r="T69" s="398">
        <v>350</v>
      </c>
      <c r="U69" s="400">
        <v>0</v>
      </c>
      <c r="V69" s="398">
        <v>0</v>
      </c>
      <c r="W69" s="400">
        <v>0</v>
      </c>
      <c r="X69" s="405">
        <f t="shared" si="3"/>
        <v>1120</v>
      </c>
    </row>
    <row r="70" spans="2:25" ht="14" customHeight="1" thickBot="1">
      <c r="B70" s="360">
        <v>44743</v>
      </c>
      <c r="C70" s="448">
        <v>15000</v>
      </c>
      <c r="D70" s="776">
        <v>50700</v>
      </c>
      <c r="E70" s="451">
        <f t="shared" si="4"/>
        <v>65700</v>
      </c>
      <c r="G70" s="352" t="s">
        <v>133</v>
      </c>
      <c r="H70" s="390"/>
      <c r="I70" s="399"/>
      <c r="J70" s="398">
        <v>2865</v>
      </c>
      <c r="K70" s="399">
        <v>10</v>
      </c>
      <c r="L70" s="398">
        <v>3855</v>
      </c>
      <c r="M70" s="399">
        <v>1770</v>
      </c>
      <c r="N70" s="398">
        <v>1660</v>
      </c>
      <c r="O70" s="400">
        <v>750</v>
      </c>
      <c r="P70" s="401">
        <v>3850</v>
      </c>
      <c r="Q70" s="400">
        <v>1800</v>
      </c>
      <c r="R70" s="401">
        <v>300</v>
      </c>
      <c r="S70" s="400">
        <v>2300</v>
      </c>
      <c r="T70" s="398">
        <v>0</v>
      </c>
      <c r="U70" s="400">
        <v>300</v>
      </c>
      <c r="V70" s="398">
        <v>475</v>
      </c>
      <c r="W70" s="400">
        <v>150</v>
      </c>
      <c r="X70" s="454">
        <f t="shared" si="3"/>
        <v>20085</v>
      </c>
      <c r="Y70" t="s">
        <v>134</v>
      </c>
    </row>
    <row r="71" spans="2:25">
      <c r="B71" s="360">
        <v>44805</v>
      </c>
      <c r="C71" s="448">
        <v>18200</v>
      </c>
      <c r="D71" s="448">
        <v>46000</v>
      </c>
      <c r="E71" s="451">
        <f t="shared" si="4"/>
        <v>64200</v>
      </c>
      <c r="H71" s="393" t="s">
        <v>135</v>
      </c>
      <c r="I71" s="399"/>
      <c r="J71" s="398">
        <v>2950</v>
      </c>
      <c r="K71" s="399">
        <v>2600</v>
      </c>
      <c r="L71" s="398">
        <v>7300</v>
      </c>
      <c r="M71" s="399">
        <v>120</v>
      </c>
      <c r="N71" s="398">
        <v>1110</v>
      </c>
      <c r="O71" s="400">
        <v>320</v>
      </c>
      <c r="P71" s="401">
        <v>2350</v>
      </c>
      <c r="Q71" s="400">
        <v>1115</v>
      </c>
      <c r="R71" s="401">
        <v>350</v>
      </c>
      <c r="S71" s="400">
        <v>160</v>
      </c>
      <c r="T71" s="398">
        <v>160</v>
      </c>
      <c r="U71" s="400">
        <v>180</v>
      </c>
      <c r="V71" s="398">
        <v>170</v>
      </c>
      <c r="W71" s="400">
        <v>475</v>
      </c>
      <c r="X71" s="405">
        <f t="shared" si="3"/>
        <v>19360</v>
      </c>
      <c r="Y71" t="s">
        <v>136</v>
      </c>
    </row>
    <row r="72" spans="2:25" ht="14" customHeight="1" thickBot="1">
      <c r="B72" s="360">
        <v>44835</v>
      </c>
      <c r="C72" s="448">
        <v>18050</v>
      </c>
      <c r="D72" s="448">
        <v>47000</v>
      </c>
      <c r="E72" s="451">
        <f t="shared" si="4"/>
        <v>65050</v>
      </c>
      <c r="G72" s="352" t="s">
        <v>137</v>
      </c>
      <c r="H72" s="390"/>
      <c r="I72" s="399"/>
      <c r="J72" s="398">
        <v>270</v>
      </c>
      <c r="K72" s="399">
        <v>25</v>
      </c>
      <c r="L72" s="398">
        <v>65</v>
      </c>
      <c r="M72" s="399">
        <v>0</v>
      </c>
      <c r="N72" s="398">
        <v>40</v>
      </c>
      <c r="O72" s="400">
        <v>20</v>
      </c>
      <c r="P72" s="401">
        <v>15</v>
      </c>
      <c r="Q72" s="400">
        <v>50</v>
      </c>
      <c r="R72" s="401">
        <v>50</v>
      </c>
      <c r="S72" s="400">
        <v>50</v>
      </c>
      <c r="T72" s="398">
        <v>150</v>
      </c>
      <c r="U72" s="400">
        <v>55</v>
      </c>
      <c r="V72" s="398">
        <v>180</v>
      </c>
      <c r="W72" s="400">
        <v>600</v>
      </c>
      <c r="X72" s="405">
        <f t="shared" si="3"/>
        <v>1570</v>
      </c>
      <c r="Y72" t="s">
        <v>138</v>
      </c>
    </row>
    <row r="73" spans="2:25" ht="14" customHeight="1" thickBot="1">
      <c r="B73" s="794">
        <v>44896</v>
      </c>
      <c r="C73" s="799">
        <v>20325</v>
      </c>
      <c r="D73" s="799">
        <v>46000</v>
      </c>
      <c r="E73" s="800">
        <f t="shared" si="4"/>
        <v>66325</v>
      </c>
      <c r="F73" s="616"/>
      <c r="G73" s="352" t="s">
        <v>139</v>
      </c>
      <c r="H73" s="390"/>
      <c r="I73" s="399"/>
      <c r="J73" s="398">
        <v>4610</v>
      </c>
      <c r="K73" s="399">
        <v>3565</v>
      </c>
      <c r="L73" s="398">
        <v>3215</v>
      </c>
      <c r="M73" s="399">
        <v>2785</v>
      </c>
      <c r="N73" s="398">
        <v>2175</v>
      </c>
      <c r="O73" s="400">
        <v>1800</v>
      </c>
      <c r="P73" s="401">
        <v>4425</v>
      </c>
      <c r="Q73" s="400">
        <v>2100</v>
      </c>
      <c r="R73" s="401">
        <v>2475</v>
      </c>
      <c r="S73" s="400">
        <v>1150</v>
      </c>
      <c r="T73" s="398">
        <v>0</v>
      </c>
      <c r="U73" s="400">
        <v>780</v>
      </c>
      <c r="V73" s="398">
        <v>1600</v>
      </c>
      <c r="W73" s="400">
        <v>1100</v>
      </c>
      <c r="X73" s="454">
        <f t="shared" si="3"/>
        <v>31780</v>
      </c>
      <c r="Y73" t="s">
        <v>140</v>
      </c>
    </row>
    <row r="74" spans="2:25" s="535" customFormat="1">
      <c r="B74" s="687">
        <v>44927</v>
      </c>
      <c r="C74" s="446">
        <v>20875</v>
      </c>
      <c r="D74" s="446">
        <v>47000</v>
      </c>
      <c r="E74" s="682">
        <f t="shared" si="4"/>
        <v>67875</v>
      </c>
      <c r="G74" s="354"/>
      <c r="H74" s="392"/>
      <c r="I74" s="399"/>
      <c r="J74" s="398"/>
      <c r="K74" s="399"/>
      <c r="L74" s="398"/>
      <c r="M74" s="399"/>
      <c r="N74" s="398"/>
      <c r="O74" s="400"/>
      <c r="P74" s="402"/>
      <c r="Q74" s="400"/>
      <c r="R74" s="402"/>
      <c r="S74" s="403"/>
      <c r="T74" s="402"/>
      <c r="U74" s="403"/>
      <c r="V74" s="402"/>
      <c r="W74" s="403"/>
      <c r="X74" s="404"/>
    </row>
    <row r="75" spans="2:25" ht="16" customHeight="1">
      <c r="B75" s="360">
        <v>44986</v>
      </c>
      <c r="C75" s="448">
        <v>22300</v>
      </c>
      <c r="D75" s="448">
        <v>37700</v>
      </c>
      <c r="E75" s="451">
        <f t="shared" si="4"/>
        <v>60000</v>
      </c>
      <c r="G75" s="535" t="s">
        <v>141</v>
      </c>
      <c r="H75" s="683"/>
      <c r="I75" s="685"/>
      <c r="J75" s="684">
        <f>SUM(J46:J73)</f>
        <v>48568</v>
      </c>
      <c r="K75" s="685">
        <f>SUM(K46:K73)</f>
        <v>46435</v>
      </c>
      <c r="L75" s="684">
        <f t="shared" ref="L75:W75" si="5">SUM(L47:L73)</f>
        <v>38100</v>
      </c>
      <c r="M75" s="685">
        <f t="shared" si="5"/>
        <v>31025</v>
      </c>
      <c r="N75" s="684">
        <f t="shared" si="5"/>
        <v>27655</v>
      </c>
      <c r="O75" s="685">
        <f t="shared" si="5"/>
        <v>29130</v>
      </c>
      <c r="P75" s="686">
        <f t="shared" si="5"/>
        <v>33480</v>
      </c>
      <c r="Q75" s="685">
        <f t="shared" si="5"/>
        <v>27540</v>
      </c>
      <c r="R75" s="686">
        <f t="shared" si="5"/>
        <v>35805</v>
      </c>
      <c r="S75" s="685">
        <f t="shared" si="5"/>
        <v>22650</v>
      </c>
      <c r="T75" s="686">
        <f t="shared" si="5"/>
        <v>30285</v>
      </c>
      <c r="U75" s="685">
        <f t="shared" si="5"/>
        <v>30130</v>
      </c>
      <c r="V75" s="686">
        <f t="shared" si="5"/>
        <v>31085</v>
      </c>
      <c r="W75" s="685">
        <f t="shared" si="5"/>
        <v>26755</v>
      </c>
      <c r="X75" s="804">
        <f>SUM(I75:W75)</f>
        <v>458643</v>
      </c>
      <c r="Y75" s="533" t="s">
        <v>86</v>
      </c>
    </row>
    <row r="76" spans="2:25">
      <c r="B76" s="360">
        <v>45047</v>
      </c>
      <c r="C76" s="448">
        <v>24175</v>
      </c>
      <c r="D76" s="448">
        <v>42000</v>
      </c>
      <c r="E76" s="451">
        <f t="shared" si="4"/>
        <v>66175</v>
      </c>
    </row>
    <row r="77" spans="2:25">
      <c r="B77" s="360">
        <v>45108</v>
      </c>
      <c r="C77" s="448">
        <v>25710</v>
      </c>
      <c r="D77" s="448">
        <v>41750</v>
      </c>
      <c r="E77" s="451">
        <f t="shared" si="4"/>
        <v>67460</v>
      </c>
    </row>
    <row r="78" spans="2:25">
      <c r="B78" s="360">
        <v>45170</v>
      </c>
      <c r="C78" s="448">
        <v>27815</v>
      </c>
      <c r="D78" s="448">
        <v>40405</v>
      </c>
      <c r="E78" s="451">
        <f t="shared" si="4"/>
        <v>68220</v>
      </c>
    </row>
    <row r="79" spans="2:25" ht="14" customHeight="1" thickBot="1">
      <c r="B79" s="886">
        <v>45261</v>
      </c>
      <c r="C79" s="887">
        <v>29600</v>
      </c>
      <c r="D79" s="887">
        <v>39500</v>
      </c>
      <c r="E79" s="888">
        <f t="shared" si="4"/>
        <v>69100</v>
      </c>
      <c r="F79" s="889"/>
    </row>
    <row r="80" spans="2:25" ht="20" customHeight="1">
      <c r="B80" s="360">
        <v>45292</v>
      </c>
      <c r="C80" s="448">
        <v>30960</v>
      </c>
      <c r="D80" s="448">
        <v>39850</v>
      </c>
      <c r="E80" s="451">
        <f t="shared" si="4"/>
        <v>70810</v>
      </c>
      <c r="G80" s="355" t="s">
        <v>142</v>
      </c>
      <c r="J80" s="356">
        <v>2024</v>
      </c>
      <c r="K80" s="356">
        <v>2023</v>
      </c>
      <c r="L80" s="356">
        <v>2017</v>
      </c>
      <c r="M80" s="356">
        <v>2016</v>
      </c>
      <c r="N80" s="356">
        <v>2015</v>
      </c>
      <c r="O80" s="356">
        <v>2014</v>
      </c>
      <c r="P80" s="356">
        <v>2013</v>
      </c>
      <c r="Q80" s="356">
        <v>2012</v>
      </c>
      <c r="R80" s="356">
        <v>2011</v>
      </c>
      <c r="S80" s="356">
        <v>2010</v>
      </c>
      <c r="T80" s="356">
        <v>2009</v>
      </c>
      <c r="U80" s="356">
        <v>2008</v>
      </c>
      <c r="V80" s="356">
        <v>2007</v>
      </c>
      <c r="W80" s="356">
        <v>2006</v>
      </c>
    </row>
    <row r="81" spans="2:23" ht="14" customHeight="1" thickBot="1">
      <c r="B81" s="360">
        <v>45352</v>
      </c>
      <c r="C81" s="448">
        <v>32700</v>
      </c>
      <c r="D81" s="448">
        <v>37425</v>
      </c>
      <c r="E81" s="451">
        <f t="shared" si="4"/>
        <v>70125</v>
      </c>
    </row>
    <row r="82" spans="2:23" ht="16" customHeight="1">
      <c r="B82" s="360">
        <v>45413</v>
      </c>
      <c r="C82" s="448">
        <v>34615</v>
      </c>
      <c r="D82" s="448">
        <v>40500</v>
      </c>
      <c r="E82" s="451">
        <f t="shared" si="4"/>
        <v>75115</v>
      </c>
      <c r="I82" s="254" t="s">
        <v>143</v>
      </c>
      <c r="J82" s="831"/>
      <c r="K82" s="831">
        <v>3165</v>
      </c>
      <c r="L82" s="831">
        <v>2594.166666666667</v>
      </c>
      <c r="M82" s="831">
        <v>1914.166666666667</v>
      </c>
      <c r="N82" s="831">
        <v>2419.583333333333</v>
      </c>
      <c r="O82" s="831">
        <v>2202.083333333333</v>
      </c>
      <c r="P82" s="831">
        <v>1996.666666666667</v>
      </c>
      <c r="Q82" s="831">
        <v>1717.916666666667</v>
      </c>
      <c r="R82" s="831">
        <v>1414.166666666667</v>
      </c>
      <c r="S82" s="843">
        <v>3360.833333333333</v>
      </c>
      <c r="T82" s="831">
        <v>3010.416666666667</v>
      </c>
      <c r="U82" s="831">
        <v>2050</v>
      </c>
      <c r="V82" s="831">
        <v>2000</v>
      </c>
      <c r="W82" s="831">
        <v>1670.833333333333</v>
      </c>
    </row>
    <row r="83" spans="2:23">
      <c r="B83" s="886">
        <v>45566</v>
      </c>
      <c r="C83" s="887">
        <v>38835</v>
      </c>
      <c r="D83" s="887">
        <v>37240</v>
      </c>
      <c r="E83" s="907">
        <f t="shared" si="4"/>
        <v>76075</v>
      </c>
      <c r="F83" s="889"/>
      <c r="I83" s="254" t="s">
        <v>3</v>
      </c>
      <c r="J83" s="831">
        <v>0</v>
      </c>
      <c r="K83" s="831">
        <v>0</v>
      </c>
      <c r="L83" s="831">
        <v>0</v>
      </c>
      <c r="M83" s="831">
        <v>667.08333333333337</v>
      </c>
      <c r="N83" s="831">
        <v>0</v>
      </c>
      <c r="O83" s="831">
        <v>0</v>
      </c>
      <c r="P83" s="831">
        <v>152.08333333333329</v>
      </c>
      <c r="Q83" s="831">
        <v>292.5</v>
      </c>
      <c r="R83" s="831">
        <v>229.16666666666671</v>
      </c>
      <c r="S83" s="831">
        <v>0</v>
      </c>
      <c r="T83" s="831">
        <v>1735.416666666667</v>
      </c>
      <c r="U83" s="831">
        <v>175</v>
      </c>
      <c r="V83" s="831">
        <v>214.58333333333329</v>
      </c>
      <c r="W83" s="831">
        <v>150</v>
      </c>
    </row>
    <row r="84" spans="2:23">
      <c r="B84" s="360">
        <v>45658</v>
      </c>
      <c r="C84" s="448">
        <v>41810</v>
      </c>
      <c r="D84" s="448">
        <v>36325</v>
      </c>
      <c r="E84" s="909">
        <f t="shared" si="4"/>
        <v>78135</v>
      </c>
      <c r="I84" s="254" t="s">
        <v>4</v>
      </c>
      <c r="J84" s="831">
        <v>0</v>
      </c>
      <c r="K84" s="831">
        <v>0</v>
      </c>
      <c r="L84" s="831">
        <v>11.25</v>
      </c>
      <c r="M84" s="831">
        <v>51.666666666666657</v>
      </c>
      <c r="N84" s="831">
        <v>0</v>
      </c>
      <c r="O84" s="831">
        <v>120</v>
      </c>
      <c r="P84" s="831">
        <v>7.5</v>
      </c>
      <c r="Q84" s="831">
        <v>60</v>
      </c>
      <c r="R84" s="831">
        <v>0</v>
      </c>
      <c r="S84" s="831">
        <v>62.5</v>
      </c>
      <c r="T84" s="831">
        <v>0</v>
      </c>
      <c r="U84" s="831">
        <v>0</v>
      </c>
      <c r="V84" s="831">
        <v>0</v>
      </c>
      <c r="W84" s="831">
        <v>1083.333333333333</v>
      </c>
    </row>
    <row r="85" spans="2:23">
      <c r="B85" s="360">
        <v>45717</v>
      </c>
      <c r="C85" s="448">
        <v>42810</v>
      </c>
      <c r="D85" s="448">
        <v>34295</v>
      </c>
      <c r="E85" s="451">
        <f t="shared" si="4"/>
        <v>77105</v>
      </c>
      <c r="I85" s="254" t="s">
        <v>5</v>
      </c>
      <c r="J85" s="831">
        <v>0</v>
      </c>
      <c r="K85" s="831">
        <v>0</v>
      </c>
      <c r="L85" s="831">
        <v>0</v>
      </c>
      <c r="M85" s="831">
        <v>0</v>
      </c>
      <c r="N85" s="831">
        <v>0</v>
      </c>
      <c r="O85" s="831">
        <v>0</v>
      </c>
      <c r="P85" s="831">
        <v>0</v>
      </c>
      <c r="Q85" s="831">
        <v>0</v>
      </c>
      <c r="R85" s="831">
        <v>0</v>
      </c>
      <c r="S85" s="831">
        <v>0</v>
      </c>
      <c r="T85" s="831">
        <v>0</v>
      </c>
      <c r="U85" s="831">
        <v>0</v>
      </c>
      <c r="V85" s="831">
        <v>0</v>
      </c>
      <c r="W85" s="831">
        <v>0</v>
      </c>
    </row>
    <row r="86" spans="2:23">
      <c r="B86" s="360">
        <v>45778</v>
      </c>
      <c r="C86" s="448">
        <v>43250</v>
      </c>
      <c r="D86" s="448">
        <v>40425</v>
      </c>
      <c r="E86" s="451">
        <f t="shared" si="4"/>
        <v>83675</v>
      </c>
      <c r="I86" s="254" t="s">
        <v>144</v>
      </c>
      <c r="J86" s="831">
        <v>0</v>
      </c>
      <c r="K86" s="831">
        <v>0</v>
      </c>
      <c r="L86" s="831">
        <v>0</v>
      </c>
      <c r="M86" s="831">
        <v>0</v>
      </c>
      <c r="N86" s="831">
        <v>0</v>
      </c>
      <c r="O86" s="831">
        <v>0</v>
      </c>
      <c r="P86" s="831">
        <v>0</v>
      </c>
      <c r="Q86" s="831">
        <v>0</v>
      </c>
      <c r="R86" s="831">
        <v>0</v>
      </c>
      <c r="S86" s="831">
        <v>0</v>
      </c>
      <c r="T86" s="831">
        <v>0</v>
      </c>
      <c r="U86" s="831">
        <v>0</v>
      </c>
      <c r="V86" s="831">
        <v>0</v>
      </c>
      <c r="W86" s="831">
        <v>0</v>
      </c>
    </row>
    <row r="87" spans="2:23">
      <c r="B87" s="886">
        <v>45931</v>
      </c>
      <c r="C87" s="887">
        <v>51330</v>
      </c>
      <c r="D87" s="887">
        <v>34625</v>
      </c>
      <c r="E87" s="987">
        <f t="shared" si="4"/>
        <v>85955</v>
      </c>
      <c r="F87" s="889"/>
      <c r="I87" s="254" t="s">
        <v>9</v>
      </c>
      <c r="J87" s="831">
        <v>0</v>
      </c>
      <c r="K87" s="831">
        <v>0</v>
      </c>
      <c r="L87" s="831">
        <v>0</v>
      </c>
      <c r="M87" s="831">
        <v>0</v>
      </c>
      <c r="N87" s="831">
        <v>0</v>
      </c>
      <c r="O87" s="831">
        <v>0</v>
      </c>
      <c r="P87" s="831">
        <v>0</v>
      </c>
      <c r="Q87" s="831">
        <v>0</v>
      </c>
      <c r="R87" s="831">
        <v>0</v>
      </c>
      <c r="S87" s="831">
        <v>0</v>
      </c>
      <c r="T87" s="831">
        <v>0</v>
      </c>
      <c r="U87" s="831">
        <v>0</v>
      </c>
      <c r="V87" s="831">
        <v>0</v>
      </c>
      <c r="W87" s="831">
        <v>0</v>
      </c>
    </row>
    <row r="88" spans="2:23" ht="14" thickBot="1">
      <c r="B88" s="360">
        <v>46023</v>
      </c>
      <c r="C88" s="448">
        <v>54865</v>
      </c>
      <c r="D88" s="448">
        <v>31700</v>
      </c>
      <c r="E88" s="909">
        <f t="shared" si="4"/>
        <v>86565</v>
      </c>
      <c r="I88" s="25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</row>
    <row r="89" spans="2:23" ht="17" customHeight="1" thickBot="1">
      <c r="B89" s="360">
        <v>46082</v>
      </c>
      <c r="C89" s="448">
        <v>58000</v>
      </c>
      <c r="D89" s="448">
        <v>30275</v>
      </c>
      <c r="E89" s="451">
        <f t="shared" si="4"/>
        <v>88275</v>
      </c>
      <c r="I89" s="254" t="s">
        <v>12</v>
      </c>
      <c r="J89" s="831"/>
      <c r="K89" s="831">
        <v>950</v>
      </c>
      <c r="L89" s="831">
        <v>0</v>
      </c>
      <c r="M89" s="831">
        <v>883.33333333333337</v>
      </c>
      <c r="N89" s="831">
        <v>0</v>
      </c>
      <c r="O89" s="831">
        <v>0</v>
      </c>
      <c r="P89" s="831">
        <v>775</v>
      </c>
      <c r="Q89" s="831">
        <v>0</v>
      </c>
      <c r="R89" s="831">
        <v>0</v>
      </c>
      <c r="S89" s="831">
        <v>0</v>
      </c>
      <c r="T89" s="843">
        <v>1603.33</v>
      </c>
      <c r="U89" s="831">
        <v>615</v>
      </c>
      <c r="V89" s="831">
        <v>455</v>
      </c>
      <c r="W89" s="831">
        <v>455</v>
      </c>
    </row>
    <row r="90" spans="2:23" ht="17" customHeight="1" thickBot="1">
      <c r="B90" s="360">
        <v>46143</v>
      </c>
      <c r="C90" s="448">
        <v>63280</v>
      </c>
      <c r="D90" s="448">
        <v>33750</v>
      </c>
      <c r="E90" s="988">
        <f t="shared" si="4"/>
        <v>97030</v>
      </c>
      <c r="F90" t="s">
        <v>145</v>
      </c>
      <c r="I90" s="254" t="s">
        <v>23</v>
      </c>
      <c r="J90" s="832"/>
      <c r="K90" s="832">
        <v>870</v>
      </c>
      <c r="L90" s="832">
        <v>760</v>
      </c>
      <c r="M90" s="832">
        <v>740</v>
      </c>
      <c r="N90" s="832">
        <v>740</v>
      </c>
      <c r="O90" s="833">
        <v>798.75</v>
      </c>
      <c r="P90" s="832">
        <v>720</v>
      </c>
      <c r="Q90" s="844">
        <v>909.16666666666663</v>
      </c>
      <c r="R90" s="832">
        <v>714.16666666666663</v>
      </c>
      <c r="S90" s="832">
        <v>705.83333333333337</v>
      </c>
      <c r="T90" s="832">
        <v>609.58333333333337</v>
      </c>
      <c r="U90" s="832">
        <v>684.16666666666663</v>
      </c>
      <c r="V90" s="832">
        <v>0</v>
      </c>
      <c r="W90" s="832">
        <v>0</v>
      </c>
    </row>
    <row r="91" spans="2:23" ht="14" customHeight="1" thickBot="1">
      <c r="B91" s="886">
        <v>46296</v>
      </c>
      <c r="C91" s="887"/>
      <c r="D91" s="887"/>
      <c r="E91" s="964"/>
      <c r="F91" s="889"/>
      <c r="I91" s="254" t="s">
        <v>13</v>
      </c>
      <c r="J91" s="831"/>
      <c r="K91" s="831">
        <v>27</v>
      </c>
      <c r="L91" s="831">
        <v>26.666666666666671</v>
      </c>
      <c r="M91" s="831">
        <v>30.833333333333329</v>
      </c>
      <c r="N91" s="831">
        <v>27.5</v>
      </c>
      <c r="O91" s="845">
        <v>72.083333333333329</v>
      </c>
      <c r="P91" s="831">
        <v>49.583333333333343</v>
      </c>
      <c r="Q91" s="831">
        <v>54.583333333333343</v>
      </c>
      <c r="R91" s="831">
        <v>51.666666666666657</v>
      </c>
      <c r="S91" s="831">
        <v>45.416666666666657</v>
      </c>
      <c r="T91" s="831">
        <v>50.833333333333343</v>
      </c>
      <c r="U91" s="831">
        <v>51.25</v>
      </c>
      <c r="V91" s="831">
        <v>33.333333333333343</v>
      </c>
      <c r="W91" s="831">
        <v>32.916666666666657</v>
      </c>
    </row>
    <row r="92" spans="2:23" ht="14" customHeight="1" thickBot="1">
      <c r="B92" s="360"/>
      <c r="C92" s="448"/>
      <c r="D92" s="448"/>
      <c r="E92" s="449"/>
      <c r="I92" s="254" t="s">
        <v>99</v>
      </c>
      <c r="J92" s="846"/>
      <c r="K92" s="846">
        <v>365</v>
      </c>
      <c r="L92" s="831">
        <v>33.333333333333343</v>
      </c>
      <c r="M92" s="831">
        <v>30</v>
      </c>
      <c r="N92" s="831">
        <v>50</v>
      </c>
      <c r="O92" s="831">
        <v>0</v>
      </c>
      <c r="P92" s="831">
        <v>0</v>
      </c>
      <c r="Q92" s="831">
        <v>0</v>
      </c>
      <c r="R92" s="831">
        <v>0</v>
      </c>
      <c r="S92" s="831">
        <v>0</v>
      </c>
      <c r="T92" s="831">
        <v>0</v>
      </c>
      <c r="U92" s="831">
        <v>0</v>
      </c>
      <c r="V92" s="831">
        <v>29.166666666666671</v>
      </c>
      <c r="W92" s="831">
        <v>70.833333333333329</v>
      </c>
    </row>
    <row r="93" spans="2:23" ht="14" customHeight="1" thickBot="1">
      <c r="B93" s="360"/>
      <c r="C93" s="448"/>
      <c r="D93" s="448"/>
      <c r="E93" s="449"/>
      <c r="I93" s="254" t="s">
        <v>146</v>
      </c>
      <c r="J93" s="845"/>
      <c r="K93" s="845">
        <v>215</v>
      </c>
      <c r="L93" s="831">
        <v>59.166666666666657</v>
      </c>
      <c r="M93" s="831">
        <v>29.166666666666671</v>
      </c>
      <c r="N93" s="831">
        <v>13.33333333333333</v>
      </c>
      <c r="O93" s="831">
        <v>13.33333333333333</v>
      </c>
      <c r="P93" s="831">
        <v>15</v>
      </c>
      <c r="Q93" s="831">
        <v>14.16666666666667</v>
      </c>
      <c r="R93" s="831">
        <v>39.166666666666657</v>
      </c>
      <c r="S93" s="831">
        <v>38.333333333333343</v>
      </c>
      <c r="T93" s="831">
        <v>0</v>
      </c>
      <c r="U93" s="831">
        <v>0</v>
      </c>
      <c r="V93" s="831">
        <v>5</v>
      </c>
      <c r="W93" s="831">
        <v>0</v>
      </c>
    </row>
    <row r="94" spans="2:23" ht="17" customHeight="1" thickBot="1">
      <c r="B94" s="360"/>
      <c r="C94" s="448"/>
      <c r="D94" s="448"/>
      <c r="E94" s="449"/>
      <c r="I94" s="254" t="s">
        <v>16</v>
      </c>
      <c r="J94" s="835"/>
      <c r="K94" s="835">
        <v>380</v>
      </c>
      <c r="L94" s="834">
        <v>205.83333333333329</v>
      </c>
      <c r="M94" s="834">
        <v>151.25</v>
      </c>
      <c r="N94" s="834">
        <v>118.75</v>
      </c>
      <c r="O94" s="834">
        <v>108.75</v>
      </c>
      <c r="P94" s="834">
        <v>90</v>
      </c>
      <c r="Q94" s="834">
        <v>138.75</v>
      </c>
      <c r="R94" s="834">
        <v>225</v>
      </c>
      <c r="S94" s="834">
        <v>280</v>
      </c>
      <c r="T94" s="834">
        <v>199.16666666666671</v>
      </c>
      <c r="U94" s="834">
        <v>187.91666666666671</v>
      </c>
      <c r="V94" s="834">
        <v>179.58333333333329</v>
      </c>
      <c r="W94" s="834">
        <v>197.5</v>
      </c>
    </row>
    <row r="95" spans="2:23" ht="17" customHeight="1" thickBot="1">
      <c r="B95" s="360"/>
      <c r="C95" s="448"/>
      <c r="D95" s="448"/>
      <c r="E95" s="449"/>
      <c r="I95" s="254" t="s">
        <v>17</v>
      </c>
      <c r="J95" s="831"/>
      <c r="K95" s="831">
        <v>56</v>
      </c>
      <c r="L95" s="843">
        <v>68.75</v>
      </c>
      <c r="M95" s="831">
        <v>46.666666666666657</v>
      </c>
      <c r="N95" s="831">
        <v>34.583333333333343</v>
      </c>
      <c r="O95" s="831">
        <v>64.166666666666671</v>
      </c>
      <c r="P95" s="831">
        <v>39.166666666666657</v>
      </c>
      <c r="Q95" s="831">
        <v>46.666666666666657</v>
      </c>
      <c r="R95" s="831">
        <v>35.416666666666657</v>
      </c>
      <c r="S95" s="831">
        <v>35.416666666666657</v>
      </c>
      <c r="T95" s="831">
        <v>33.333333333333343</v>
      </c>
      <c r="U95" s="831">
        <v>34.583333333333343</v>
      </c>
      <c r="V95" s="831">
        <v>28.75</v>
      </c>
      <c r="W95" s="831">
        <v>34.583333333333343</v>
      </c>
    </row>
    <row r="96" spans="2:23" ht="17" customHeight="1" thickBot="1">
      <c r="B96" s="360"/>
      <c r="C96" s="448"/>
      <c r="D96" s="448"/>
      <c r="E96" s="449"/>
      <c r="I96" s="254" t="s">
        <v>147</v>
      </c>
      <c r="J96" s="836"/>
      <c r="K96" s="836">
        <v>135</v>
      </c>
      <c r="L96" s="836">
        <v>138.75</v>
      </c>
      <c r="M96" s="836">
        <v>147.91666666666671</v>
      </c>
      <c r="N96" s="836">
        <v>162.91666666666671</v>
      </c>
      <c r="O96" s="836">
        <v>176.25</v>
      </c>
      <c r="P96" s="836">
        <v>125.8333333333333</v>
      </c>
      <c r="Q96" s="836">
        <v>145</v>
      </c>
      <c r="R96" s="836">
        <v>177.5</v>
      </c>
      <c r="S96" s="847">
        <v>179.16666666666671</v>
      </c>
      <c r="T96" s="836">
        <v>113.3333333333333</v>
      </c>
      <c r="U96" s="836">
        <v>77.916666666666671</v>
      </c>
      <c r="V96" s="836">
        <v>101.25</v>
      </c>
      <c r="W96" s="836">
        <v>72.5</v>
      </c>
    </row>
    <row r="97" spans="2:23" ht="17" customHeight="1" thickBot="1">
      <c r="B97" s="360"/>
      <c r="C97" s="448"/>
      <c r="D97" s="448"/>
      <c r="E97" s="449"/>
      <c r="I97" s="254" t="s">
        <v>148</v>
      </c>
      <c r="J97" s="831"/>
      <c r="K97" s="831">
        <v>60</v>
      </c>
      <c r="L97" s="843">
        <v>72.5</v>
      </c>
      <c r="M97" s="831">
        <v>71.25</v>
      </c>
      <c r="N97" s="831">
        <v>64.583333333333329</v>
      </c>
      <c r="O97" s="831">
        <v>66.666666666666671</v>
      </c>
      <c r="P97" s="831">
        <v>67.083333333333329</v>
      </c>
      <c r="Q97" s="831">
        <v>62.916666666666657</v>
      </c>
      <c r="R97" s="831">
        <v>62.916666666666657</v>
      </c>
      <c r="S97" s="831">
        <v>57.5</v>
      </c>
      <c r="T97" s="831">
        <v>30.416666666666671</v>
      </c>
      <c r="U97" s="831">
        <v>0</v>
      </c>
      <c r="V97" s="831">
        <v>0</v>
      </c>
      <c r="W97" s="831">
        <v>60.416666666666657</v>
      </c>
    </row>
    <row r="98" spans="2:23" ht="14" customHeight="1" thickBot="1">
      <c r="B98" s="360"/>
      <c r="C98" s="448"/>
      <c r="D98" s="448"/>
      <c r="E98" s="449"/>
      <c r="I98" s="25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</row>
    <row r="99" spans="2:23" ht="17" customHeight="1" thickBot="1">
      <c r="B99" s="360"/>
      <c r="C99" s="448"/>
      <c r="D99" s="448"/>
      <c r="E99" s="449"/>
      <c r="I99" s="254" t="s">
        <v>24</v>
      </c>
      <c r="J99" s="831"/>
      <c r="K99" s="831">
        <v>20</v>
      </c>
      <c r="L99" s="831">
        <v>11.25</v>
      </c>
      <c r="M99" s="831">
        <v>6.666666666666667</v>
      </c>
      <c r="N99" s="831">
        <v>40</v>
      </c>
      <c r="O99" s="831">
        <v>11.25</v>
      </c>
      <c r="P99" s="843">
        <v>52.083333333333343</v>
      </c>
      <c r="Q99" s="831">
        <v>18.75</v>
      </c>
      <c r="R99" s="831">
        <v>11.66666666666667</v>
      </c>
      <c r="S99" s="831">
        <v>3.75</v>
      </c>
      <c r="T99" s="831">
        <v>31.666666666666671</v>
      </c>
      <c r="U99" s="831">
        <v>30</v>
      </c>
      <c r="V99" s="831">
        <v>5</v>
      </c>
      <c r="W99" s="831">
        <v>4.166666666666667</v>
      </c>
    </row>
    <row r="100" spans="2:23">
      <c r="B100" s="358"/>
      <c r="C100" s="664" t="s">
        <v>91</v>
      </c>
      <c r="D100" s="664" t="s">
        <v>92</v>
      </c>
      <c r="E100" s="362" t="s">
        <v>93</v>
      </c>
      <c r="I100" s="254" t="s">
        <v>25</v>
      </c>
      <c r="J100" s="831"/>
      <c r="K100" s="831">
        <v>0</v>
      </c>
      <c r="L100" s="831">
        <v>0</v>
      </c>
      <c r="M100" s="831">
        <v>0</v>
      </c>
      <c r="N100" s="831">
        <v>0</v>
      </c>
      <c r="O100" s="831">
        <v>0</v>
      </c>
      <c r="P100" s="831">
        <v>13.33333333333333</v>
      </c>
      <c r="Q100" s="831">
        <v>0</v>
      </c>
      <c r="R100" s="831">
        <v>0</v>
      </c>
      <c r="S100" s="831">
        <v>0</v>
      </c>
      <c r="T100" s="831">
        <v>0</v>
      </c>
      <c r="U100" s="831">
        <v>0</v>
      </c>
      <c r="V100" s="831">
        <v>0</v>
      </c>
      <c r="W100" s="831">
        <v>0</v>
      </c>
    </row>
    <row r="101" spans="2:23" ht="14" customHeight="1" thickBot="1">
      <c r="C101" s="665" t="s">
        <v>149</v>
      </c>
      <c r="I101" s="254" t="s">
        <v>26</v>
      </c>
      <c r="J101" s="831"/>
      <c r="K101" s="831">
        <v>0.5</v>
      </c>
      <c r="L101" s="831">
        <v>1.25</v>
      </c>
      <c r="M101" s="831">
        <v>3.333333333333333</v>
      </c>
      <c r="N101" s="831">
        <v>2.916666666666667</v>
      </c>
      <c r="O101" s="831">
        <v>0.83333333333333337</v>
      </c>
      <c r="P101" s="831">
        <v>3.75</v>
      </c>
      <c r="Q101" s="831">
        <v>0</v>
      </c>
      <c r="R101" s="831">
        <v>0.41666666666666669</v>
      </c>
      <c r="S101" s="831">
        <v>0.83333333333333337</v>
      </c>
      <c r="T101" s="831">
        <v>3.75</v>
      </c>
      <c r="U101" s="831">
        <v>0</v>
      </c>
      <c r="V101" s="831">
        <v>3.75</v>
      </c>
      <c r="W101" s="831">
        <v>5.833333333333333</v>
      </c>
    </row>
    <row r="102" spans="2:23" ht="17" customHeight="1" thickBot="1">
      <c r="B102" s="810">
        <f>YEARFRAC(B5,B88)</f>
        <v>16.833333333333332</v>
      </c>
      <c r="C102" s="666" t="s">
        <v>56</v>
      </c>
      <c r="I102" s="254" t="s">
        <v>27</v>
      </c>
      <c r="J102" s="831"/>
      <c r="K102" s="831">
        <v>0</v>
      </c>
      <c r="L102" s="831">
        <v>5.416666666666667</v>
      </c>
      <c r="M102" s="831">
        <v>26.666666666666671</v>
      </c>
      <c r="N102" s="831">
        <v>24.166666666666671</v>
      </c>
      <c r="O102" s="831">
        <v>29.166666666666671</v>
      </c>
      <c r="P102" s="831">
        <v>8.3333333333333339</v>
      </c>
      <c r="Q102" s="831">
        <v>0</v>
      </c>
      <c r="R102" s="831">
        <v>0</v>
      </c>
      <c r="S102" s="831">
        <v>93.75</v>
      </c>
      <c r="T102" s="831">
        <v>180.83333333333329</v>
      </c>
      <c r="U102" s="843">
        <v>238.33333333333329</v>
      </c>
      <c r="V102" s="831">
        <v>45.833333333333343</v>
      </c>
      <c r="W102" s="831">
        <v>69.166666666666671</v>
      </c>
    </row>
    <row r="103" spans="2:23" ht="17" customHeight="1" thickBot="1">
      <c r="I103" s="254" t="s">
        <v>150</v>
      </c>
      <c r="J103" s="831"/>
      <c r="K103" s="831">
        <v>102</v>
      </c>
      <c r="L103" s="831">
        <v>90</v>
      </c>
      <c r="M103" s="831">
        <v>85.416666666666671</v>
      </c>
      <c r="N103" s="831">
        <v>97.5</v>
      </c>
      <c r="O103" s="831">
        <v>62.083333333333343</v>
      </c>
      <c r="P103" s="831">
        <v>70.416666666666671</v>
      </c>
      <c r="Q103" s="831">
        <v>78.333333333333329</v>
      </c>
      <c r="R103" s="831">
        <v>120.8333333333333</v>
      </c>
      <c r="S103" s="843">
        <v>208.75</v>
      </c>
      <c r="T103" s="831">
        <v>62.5</v>
      </c>
      <c r="U103" s="831">
        <v>95.416666666666671</v>
      </c>
      <c r="V103" s="831">
        <v>108.75</v>
      </c>
      <c r="W103" s="831">
        <v>60</v>
      </c>
    </row>
    <row r="104" spans="2:23" ht="17" customHeight="1" thickBot="1">
      <c r="I104" s="254" t="s">
        <v>151</v>
      </c>
      <c r="J104" s="837"/>
      <c r="K104" s="837">
        <v>130</v>
      </c>
      <c r="L104" s="837">
        <v>121.25</v>
      </c>
      <c r="M104" s="837">
        <v>95.833333333333329</v>
      </c>
      <c r="N104" s="837">
        <v>82.5</v>
      </c>
      <c r="O104" s="837">
        <v>77.5</v>
      </c>
      <c r="P104" s="837">
        <v>95.833333333333329</v>
      </c>
      <c r="Q104" s="837">
        <v>137.91666666666671</v>
      </c>
      <c r="R104" s="837">
        <v>109.5833333333333</v>
      </c>
      <c r="S104" s="837">
        <v>90.833333333333329</v>
      </c>
      <c r="T104" s="848">
        <v>145.41666666666671</v>
      </c>
      <c r="U104" s="837">
        <v>145.41666666666671</v>
      </c>
      <c r="V104" s="837">
        <v>141.25</v>
      </c>
      <c r="W104" s="837">
        <v>126.6666666666667</v>
      </c>
    </row>
    <row r="105" spans="2:23" ht="14" customHeight="1" thickBot="1">
      <c r="I105" s="254" t="s">
        <v>152</v>
      </c>
      <c r="J105" s="831"/>
      <c r="K105" s="831">
        <v>0</v>
      </c>
      <c r="L105" s="831">
        <v>2.083333333333333</v>
      </c>
      <c r="M105" s="831">
        <v>2.5</v>
      </c>
      <c r="N105" s="831">
        <v>0</v>
      </c>
      <c r="O105" s="831">
        <v>0.41666666666666669</v>
      </c>
      <c r="P105" s="831">
        <v>3.75</v>
      </c>
      <c r="Q105" s="831">
        <v>0</v>
      </c>
      <c r="R105" s="831">
        <v>0</v>
      </c>
      <c r="S105" s="831">
        <v>0</v>
      </c>
      <c r="T105" s="831">
        <v>0.83333333333333337</v>
      </c>
      <c r="U105" s="831">
        <v>0</v>
      </c>
      <c r="V105" s="831">
        <v>0</v>
      </c>
      <c r="W105" s="831">
        <v>1.666666666666667</v>
      </c>
    </row>
    <row r="106" spans="2:23" ht="17" customHeight="1" thickBot="1">
      <c r="I106" s="254" t="s">
        <v>31</v>
      </c>
      <c r="J106" s="831"/>
      <c r="K106" s="831">
        <v>1</v>
      </c>
      <c r="L106" s="831">
        <v>14.16666666666667</v>
      </c>
      <c r="M106" s="843">
        <v>82.083333333333329</v>
      </c>
      <c r="N106" s="831">
        <v>10.41666666666667</v>
      </c>
      <c r="O106" s="831">
        <v>0.83333333333333337</v>
      </c>
      <c r="P106" s="831">
        <v>17.916666666666671</v>
      </c>
      <c r="Q106" s="831">
        <v>19.583333333333329</v>
      </c>
      <c r="R106" s="831">
        <v>48.333333333333343</v>
      </c>
      <c r="S106" s="831">
        <v>0</v>
      </c>
      <c r="T106" s="831">
        <v>16.666666666666671</v>
      </c>
      <c r="U106" s="831">
        <v>7.5</v>
      </c>
      <c r="V106" s="831">
        <v>25.416666666666671</v>
      </c>
      <c r="W106" s="831">
        <v>10.41666666666667</v>
      </c>
    </row>
    <row r="107" spans="2:23" ht="17" customHeight="1" thickBot="1">
      <c r="I107" s="254" t="s">
        <v>32</v>
      </c>
      <c r="J107" s="849"/>
      <c r="K107" s="849">
        <v>300</v>
      </c>
      <c r="L107" s="838">
        <v>168.75</v>
      </c>
      <c r="M107" s="838">
        <v>206.66666666666671</v>
      </c>
      <c r="N107" s="838">
        <v>94.166666666666671</v>
      </c>
      <c r="O107" s="838">
        <v>5.416666666666667</v>
      </c>
      <c r="P107" s="838">
        <v>60.833333333333343</v>
      </c>
      <c r="Q107" s="838">
        <v>105.4166666666667</v>
      </c>
      <c r="R107" s="838">
        <v>92.083333333333329</v>
      </c>
      <c r="S107" s="838">
        <v>0</v>
      </c>
      <c r="T107" s="838">
        <v>85.833333333333329</v>
      </c>
      <c r="U107" s="838">
        <v>12.5</v>
      </c>
      <c r="V107" s="838">
        <v>135.41666666666671</v>
      </c>
      <c r="W107" s="838">
        <v>66.666666666666671</v>
      </c>
    </row>
    <row r="108" spans="2:23" ht="17" customHeight="1" thickBot="1">
      <c r="I108" s="254" t="s">
        <v>33</v>
      </c>
      <c r="J108" s="831"/>
      <c r="K108" s="831">
        <v>0</v>
      </c>
      <c r="L108" s="831">
        <v>13.75</v>
      </c>
      <c r="M108" s="831">
        <v>1.25</v>
      </c>
      <c r="N108" s="831">
        <v>21.25</v>
      </c>
      <c r="O108" s="850">
        <v>36.666666666666657</v>
      </c>
      <c r="P108" s="831">
        <v>7.083333333333333</v>
      </c>
      <c r="Q108" s="831">
        <v>28.333333333333329</v>
      </c>
      <c r="R108" s="831">
        <v>0</v>
      </c>
      <c r="S108" s="831">
        <v>0</v>
      </c>
      <c r="T108" s="831">
        <v>0</v>
      </c>
      <c r="U108" s="831">
        <v>0</v>
      </c>
      <c r="V108" s="831">
        <v>0.83333333333333337</v>
      </c>
      <c r="W108" s="831">
        <v>28.333333333333329</v>
      </c>
    </row>
    <row r="109" spans="2:23" ht="17" customHeight="1" thickBot="1">
      <c r="I109" s="254" t="s">
        <v>34</v>
      </c>
      <c r="J109" s="831"/>
      <c r="K109" s="831">
        <v>0</v>
      </c>
      <c r="L109" s="831">
        <v>22.083333333333329</v>
      </c>
      <c r="M109" s="831">
        <v>7.916666666666667</v>
      </c>
      <c r="N109" s="831">
        <v>2.916666666666667</v>
      </c>
      <c r="O109" s="843">
        <v>30.416666666666671</v>
      </c>
      <c r="P109" s="831">
        <v>2.083333333333333</v>
      </c>
      <c r="Q109" s="831">
        <v>5</v>
      </c>
      <c r="R109" s="831">
        <v>9.5833333333333339</v>
      </c>
      <c r="S109" s="831">
        <v>15.83333333333333</v>
      </c>
      <c r="T109" s="831">
        <v>22.5</v>
      </c>
      <c r="U109" s="831">
        <v>4.583333333333333</v>
      </c>
      <c r="V109" s="831">
        <v>15.83333333333333</v>
      </c>
      <c r="W109" s="831">
        <v>5</v>
      </c>
    </row>
    <row r="110" spans="2:23" ht="17" customHeight="1" thickBot="1">
      <c r="I110" s="254" t="s">
        <v>35</v>
      </c>
      <c r="J110" s="839"/>
      <c r="K110" s="839">
        <v>20</v>
      </c>
      <c r="L110" s="839">
        <v>89.166666666666671</v>
      </c>
      <c r="M110" s="839">
        <v>95.416666666666671</v>
      </c>
      <c r="N110" s="839">
        <v>87.083333333333329</v>
      </c>
      <c r="O110" s="839">
        <v>110.4166666666667</v>
      </c>
      <c r="P110" s="851">
        <v>147.08333333333329</v>
      </c>
      <c r="Q110" s="839">
        <v>130.41666666666671</v>
      </c>
      <c r="R110" s="839">
        <v>52.5</v>
      </c>
      <c r="S110" s="839">
        <v>42.916666666666657</v>
      </c>
      <c r="T110" s="839">
        <v>21.67</v>
      </c>
      <c r="U110" s="839">
        <v>2.5</v>
      </c>
      <c r="V110" s="839">
        <v>26.666666666666671</v>
      </c>
      <c r="W110" s="839">
        <v>35.416666666666657</v>
      </c>
    </row>
    <row r="111" spans="2:23" ht="17" customHeight="1" thickBot="1">
      <c r="I111" s="254" t="s">
        <v>36</v>
      </c>
      <c r="J111" s="831"/>
      <c r="K111" s="831">
        <v>2</v>
      </c>
      <c r="L111" s="831">
        <v>3.75</v>
      </c>
      <c r="M111" s="831">
        <v>2.5</v>
      </c>
      <c r="N111" s="831">
        <v>2.5</v>
      </c>
      <c r="O111" s="831">
        <v>12.08333333333333</v>
      </c>
      <c r="P111" s="831">
        <v>4.583333333333333</v>
      </c>
      <c r="Q111" s="831">
        <v>15</v>
      </c>
      <c r="R111" s="831">
        <v>49.166666666666657</v>
      </c>
      <c r="S111" s="831">
        <v>28.333333333333329</v>
      </c>
      <c r="T111" s="843">
        <v>61.666666666666657</v>
      </c>
      <c r="U111" s="831">
        <v>37.5</v>
      </c>
      <c r="V111" s="831">
        <v>29.166666666666671</v>
      </c>
      <c r="W111" s="831">
        <v>36.25</v>
      </c>
    </row>
    <row r="112" spans="2:23" ht="17" customHeight="1" thickBot="1">
      <c r="I112" s="254" t="s">
        <v>37</v>
      </c>
      <c r="J112" s="831"/>
      <c r="K112" s="831">
        <v>10</v>
      </c>
      <c r="L112" s="831">
        <v>2.5</v>
      </c>
      <c r="M112" s="831">
        <v>4.166666666666667</v>
      </c>
      <c r="N112" s="831">
        <v>0</v>
      </c>
      <c r="O112" s="831">
        <v>0</v>
      </c>
      <c r="P112" s="831">
        <v>0.83333333333333337</v>
      </c>
      <c r="Q112" s="831">
        <v>9.1666666666666661</v>
      </c>
      <c r="R112" s="831">
        <v>5</v>
      </c>
      <c r="S112" s="843">
        <v>34.166666666666657</v>
      </c>
      <c r="T112" s="831">
        <v>12.5</v>
      </c>
      <c r="U112" s="831">
        <v>4.166666666666667</v>
      </c>
      <c r="V112" s="831">
        <v>23.333333333333329</v>
      </c>
      <c r="W112" s="831">
        <v>0</v>
      </c>
    </row>
    <row r="113" spans="7:23" ht="17" customHeight="1" thickBot="1">
      <c r="I113" s="254" t="s">
        <v>38</v>
      </c>
      <c r="J113" s="840"/>
      <c r="K113" s="840">
        <v>0</v>
      </c>
      <c r="L113" s="840">
        <v>6.666666666666667</v>
      </c>
      <c r="M113" s="840">
        <v>0</v>
      </c>
      <c r="N113" s="840">
        <v>1.666666666666667</v>
      </c>
      <c r="O113" s="840">
        <v>0</v>
      </c>
      <c r="P113" s="840">
        <v>33.75</v>
      </c>
      <c r="Q113" s="840">
        <v>45</v>
      </c>
      <c r="R113" s="840">
        <v>18.75</v>
      </c>
      <c r="S113" s="840">
        <v>52.5</v>
      </c>
      <c r="T113" s="840">
        <v>128.75</v>
      </c>
      <c r="U113" s="840">
        <v>54.583333333333343</v>
      </c>
      <c r="V113" s="852">
        <v>177.5</v>
      </c>
      <c r="W113" s="840">
        <v>125.8333333333333</v>
      </c>
    </row>
    <row r="114" spans="7:23" ht="17" customHeight="1" thickBot="1">
      <c r="I114" s="254" t="s">
        <v>39</v>
      </c>
      <c r="J114" s="831"/>
      <c r="K114" s="831">
        <v>8</v>
      </c>
      <c r="L114" s="831">
        <v>30</v>
      </c>
      <c r="M114" s="831">
        <v>42.5</v>
      </c>
      <c r="N114" s="831">
        <v>22.916666666666671</v>
      </c>
      <c r="O114" s="843">
        <v>43.333333333333343</v>
      </c>
      <c r="P114" s="831">
        <v>18.75</v>
      </c>
      <c r="Q114" s="831">
        <v>17.916666666666671</v>
      </c>
      <c r="R114" s="831">
        <v>14.16666666666667</v>
      </c>
      <c r="S114" s="831">
        <v>25.416666666666671</v>
      </c>
      <c r="T114" s="831">
        <v>18.75</v>
      </c>
      <c r="U114" s="831">
        <v>8.75</v>
      </c>
      <c r="V114" s="831">
        <v>24.583333333333329</v>
      </c>
      <c r="W114" s="831">
        <v>35.833333333333343</v>
      </c>
    </row>
    <row r="115" spans="7:23" ht="17" customHeight="1" thickBot="1">
      <c r="I115" s="254" t="s">
        <v>40</v>
      </c>
      <c r="J115" s="831"/>
      <c r="K115" s="831">
        <v>0.5</v>
      </c>
      <c r="L115" s="831">
        <v>32.5</v>
      </c>
      <c r="M115" s="831">
        <v>0</v>
      </c>
      <c r="N115" s="831">
        <v>20.833333333333329</v>
      </c>
      <c r="O115" s="831">
        <v>22.916666666666671</v>
      </c>
      <c r="P115" s="831">
        <v>0</v>
      </c>
      <c r="Q115" s="831">
        <v>0</v>
      </c>
      <c r="R115" s="831">
        <v>82.916666666666671</v>
      </c>
      <c r="S115" s="831">
        <v>0</v>
      </c>
      <c r="T115" s="843">
        <v>166.66666666666671</v>
      </c>
      <c r="U115" s="831">
        <v>0</v>
      </c>
      <c r="V115" s="831">
        <v>0</v>
      </c>
      <c r="W115" s="831">
        <v>50.833333333333343</v>
      </c>
    </row>
    <row r="116" spans="7:23" ht="17" customHeight="1" thickBot="1">
      <c r="I116" s="254" t="s">
        <v>41</v>
      </c>
      <c r="J116" s="841"/>
      <c r="K116" s="841">
        <v>1</v>
      </c>
      <c r="L116" s="841">
        <v>149.58333333333329</v>
      </c>
      <c r="M116" s="841">
        <v>25</v>
      </c>
      <c r="N116" s="841">
        <v>190.41666666666671</v>
      </c>
      <c r="O116" s="841">
        <v>0.41666666666666669</v>
      </c>
      <c r="P116" s="841">
        <v>25</v>
      </c>
      <c r="Q116" s="841">
        <v>39.583333333333343</v>
      </c>
      <c r="R116" s="841">
        <v>11.25</v>
      </c>
      <c r="S116" s="853">
        <v>218.75</v>
      </c>
      <c r="T116" s="841">
        <v>84.583333333333329</v>
      </c>
      <c r="U116" s="841">
        <v>175.41666666666671</v>
      </c>
      <c r="V116" s="841">
        <v>147.5</v>
      </c>
      <c r="W116" s="841">
        <v>163.33333333333329</v>
      </c>
    </row>
    <row r="117" spans="7:23" ht="14" customHeight="1" thickBot="1">
      <c r="I117" s="254" t="s">
        <v>153</v>
      </c>
      <c r="J117" s="831"/>
      <c r="K117" s="831"/>
      <c r="L117" s="831">
        <v>0</v>
      </c>
      <c r="M117" s="831">
        <v>0</v>
      </c>
      <c r="N117" s="831">
        <v>0</v>
      </c>
      <c r="O117" s="831">
        <v>8.3333333333333339</v>
      </c>
      <c r="P117" s="831">
        <v>0</v>
      </c>
      <c r="Q117" s="831">
        <v>0</v>
      </c>
      <c r="R117" s="831">
        <v>0</v>
      </c>
      <c r="S117" s="831">
        <v>4.166666666666667</v>
      </c>
      <c r="T117" s="831">
        <v>0</v>
      </c>
      <c r="U117" s="831">
        <v>0</v>
      </c>
      <c r="V117" s="831">
        <v>5</v>
      </c>
      <c r="W117" s="831">
        <v>0</v>
      </c>
    </row>
    <row r="118" spans="7:23" ht="17" customHeight="1" thickBot="1">
      <c r="I118" s="254" t="s">
        <v>98</v>
      </c>
      <c r="J118" s="831"/>
      <c r="K118" s="831">
        <v>3</v>
      </c>
      <c r="L118" s="831">
        <v>0</v>
      </c>
      <c r="M118" s="831">
        <v>0</v>
      </c>
      <c r="N118" s="831">
        <v>5.833333333333333</v>
      </c>
      <c r="O118" s="831">
        <v>374.58333333333331</v>
      </c>
      <c r="P118" s="831">
        <v>5.833333333333333</v>
      </c>
      <c r="Q118" s="831">
        <v>2.083333333333333</v>
      </c>
      <c r="R118" s="831">
        <v>134.16666666666671</v>
      </c>
      <c r="S118" s="843">
        <v>732.91666666666663</v>
      </c>
      <c r="T118" s="831">
        <v>0</v>
      </c>
      <c r="U118" s="831">
        <v>0</v>
      </c>
      <c r="V118" s="831">
        <v>0</v>
      </c>
      <c r="W118" s="831">
        <v>41.666666666666657</v>
      </c>
    </row>
    <row r="119" spans="7:23" ht="17" customHeight="1" thickBot="1">
      <c r="I119" s="254" t="s">
        <v>154</v>
      </c>
      <c r="J119" s="842"/>
      <c r="K119" s="842">
        <v>0</v>
      </c>
      <c r="L119" s="842">
        <v>6.25</v>
      </c>
      <c r="M119" s="842">
        <v>41.666666666666657</v>
      </c>
      <c r="N119" s="842">
        <v>36.666666666666657</v>
      </c>
      <c r="O119" s="854">
        <v>555.83333333333337</v>
      </c>
      <c r="P119" s="842">
        <v>15.41666666666667</v>
      </c>
      <c r="Q119" s="842">
        <v>335</v>
      </c>
      <c r="R119" s="842">
        <v>5</v>
      </c>
      <c r="S119" s="842">
        <v>349.58333333333331</v>
      </c>
      <c r="T119" s="842">
        <v>9.5833333333333339</v>
      </c>
      <c r="U119" s="842">
        <v>124.1666666666667</v>
      </c>
      <c r="V119" s="842">
        <v>0</v>
      </c>
      <c r="W119" s="842">
        <v>0</v>
      </c>
    </row>
    <row r="120" spans="7:23" ht="17" customHeight="1" thickBot="1">
      <c r="I120" s="254" t="s">
        <v>155</v>
      </c>
      <c r="J120" s="830"/>
      <c r="K120" s="830">
        <v>21.25</v>
      </c>
      <c r="L120" s="830">
        <v>84.583333333333329</v>
      </c>
      <c r="M120" s="830">
        <v>59.166666666666657</v>
      </c>
      <c r="N120" s="830">
        <v>19.583333333333329</v>
      </c>
      <c r="O120" s="830">
        <v>40</v>
      </c>
      <c r="P120" s="830">
        <v>15</v>
      </c>
      <c r="Q120" s="830">
        <v>15</v>
      </c>
      <c r="R120" s="830">
        <v>117.5</v>
      </c>
      <c r="S120" s="830">
        <v>157.5</v>
      </c>
      <c r="T120" s="830">
        <v>134.16666666666671</v>
      </c>
      <c r="U120" s="830">
        <v>115.8333333333333</v>
      </c>
      <c r="V120" s="830">
        <v>212.5</v>
      </c>
      <c r="W120" s="855">
        <v>223.75</v>
      </c>
    </row>
    <row r="121" spans="7:23" ht="17" customHeight="1" thickBot="1">
      <c r="I121" s="254" t="s">
        <v>45</v>
      </c>
      <c r="J121" s="850"/>
      <c r="K121" s="850">
        <v>170</v>
      </c>
      <c r="L121" s="831">
        <v>81.666666666666671</v>
      </c>
      <c r="M121" s="831">
        <v>84.583333333333329</v>
      </c>
      <c r="N121" s="831">
        <v>40.833333333333343</v>
      </c>
      <c r="O121" s="831">
        <v>35</v>
      </c>
      <c r="P121" s="831">
        <v>23.75</v>
      </c>
      <c r="Q121" s="831">
        <v>0</v>
      </c>
      <c r="R121" s="831">
        <v>0</v>
      </c>
      <c r="S121" s="831">
        <v>0</v>
      </c>
      <c r="T121" s="831">
        <v>0</v>
      </c>
      <c r="U121" s="831">
        <v>0</v>
      </c>
      <c r="V121" s="831">
        <v>0</v>
      </c>
      <c r="W121" s="831">
        <v>0</v>
      </c>
    </row>
    <row r="122" spans="7:23" ht="17" customHeight="1" thickBot="1">
      <c r="I122" s="254" t="s">
        <v>156</v>
      </c>
      <c r="J122" s="843"/>
      <c r="K122" s="843">
        <v>38</v>
      </c>
      <c r="L122" s="831">
        <v>10</v>
      </c>
      <c r="M122" s="831">
        <v>2.5</v>
      </c>
      <c r="N122" s="831">
        <v>0</v>
      </c>
      <c r="O122" s="831">
        <v>0</v>
      </c>
      <c r="P122" s="831">
        <v>4.166666666666667</v>
      </c>
      <c r="Q122" s="831">
        <v>12.5</v>
      </c>
      <c r="R122" s="831">
        <v>25.416666666666671</v>
      </c>
      <c r="S122" s="831">
        <v>11.25</v>
      </c>
      <c r="T122" s="831">
        <v>8.75</v>
      </c>
      <c r="U122" s="831">
        <v>12.5</v>
      </c>
      <c r="V122" s="831">
        <v>18.5</v>
      </c>
      <c r="W122" s="831">
        <v>20</v>
      </c>
    </row>
    <row r="123" spans="7:23"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</row>
    <row r="124" spans="7:23" ht="20" customHeight="1">
      <c r="G124" s="355" t="s">
        <v>142</v>
      </c>
      <c r="J124" s="356">
        <v>2024</v>
      </c>
      <c r="K124" s="356">
        <v>2023</v>
      </c>
      <c r="L124" s="356">
        <v>2017</v>
      </c>
      <c r="M124" s="356">
        <v>2016</v>
      </c>
      <c r="N124" s="356">
        <v>2015</v>
      </c>
      <c r="O124" s="356">
        <v>2014</v>
      </c>
      <c r="P124" s="356">
        <v>2013</v>
      </c>
      <c r="Q124" s="356">
        <v>2012</v>
      </c>
      <c r="R124" s="356">
        <v>2011</v>
      </c>
      <c r="S124" s="356">
        <v>2010</v>
      </c>
      <c r="T124" s="356">
        <v>2009</v>
      </c>
      <c r="U124" s="356">
        <v>2008</v>
      </c>
      <c r="V124" s="356">
        <v>2007</v>
      </c>
      <c r="W124" s="356">
        <v>2006</v>
      </c>
    </row>
    <row r="125" spans="7:23"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</row>
    <row r="126" spans="7:23">
      <c r="I126" s="254" t="s">
        <v>157</v>
      </c>
      <c r="J126" s="831"/>
      <c r="K126" s="831">
        <f t="shared" ref="K126:W126" si="6">SUM(K89:K122)</f>
        <v>3885.25</v>
      </c>
      <c r="L126" s="831">
        <f t="shared" si="6"/>
        <v>2311.666666666667</v>
      </c>
      <c r="M126" s="831">
        <f t="shared" si="6"/>
        <v>3006.2499999999995</v>
      </c>
      <c r="N126" s="831">
        <f t="shared" si="6"/>
        <v>2015.8333333333337</v>
      </c>
      <c r="O126" s="831">
        <f t="shared" si="6"/>
        <v>2757.5000000000005</v>
      </c>
      <c r="P126" s="831">
        <f t="shared" si="6"/>
        <v>2511.2500000000005</v>
      </c>
      <c r="Q126" s="831">
        <f t="shared" si="6"/>
        <v>2386.25</v>
      </c>
      <c r="R126" s="831">
        <f t="shared" si="6"/>
        <v>2214.1666666666665</v>
      </c>
      <c r="S126" s="831">
        <f t="shared" si="6"/>
        <v>3412.9166666666665</v>
      </c>
      <c r="T126" s="831">
        <f t="shared" si="6"/>
        <v>3837.0833333333335</v>
      </c>
      <c r="U126" s="831">
        <f t="shared" si="6"/>
        <v>2720</v>
      </c>
      <c r="V126" s="831">
        <f t="shared" si="6"/>
        <v>1978.9166666666665</v>
      </c>
      <c r="W126" s="831">
        <f t="shared" si="6"/>
        <v>2034.5833333333333</v>
      </c>
    </row>
    <row r="127" spans="7:23">
      <c r="I127" s="596" t="s">
        <v>158</v>
      </c>
      <c r="J127" s="856"/>
      <c r="K127" s="856">
        <f t="shared" ref="K127:W127" si="7">K82-K126</f>
        <v>-720.25</v>
      </c>
      <c r="L127" s="357">
        <f t="shared" si="7"/>
        <v>282.5</v>
      </c>
      <c r="M127" s="856">
        <f t="shared" si="7"/>
        <v>-1092.0833333333326</v>
      </c>
      <c r="N127" s="357">
        <f t="shared" si="7"/>
        <v>403.74999999999932</v>
      </c>
      <c r="O127" s="856">
        <f t="shared" si="7"/>
        <v>-555.41666666666742</v>
      </c>
      <c r="P127" s="856">
        <f t="shared" si="7"/>
        <v>-514.58333333333348</v>
      </c>
      <c r="Q127" s="856">
        <f t="shared" si="7"/>
        <v>-668.33333333333303</v>
      </c>
      <c r="R127" s="856">
        <f t="shared" si="7"/>
        <v>-799.99999999999955</v>
      </c>
      <c r="S127" s="856">
        <f t="shared" si="7"/>
        <v>-52.083333333333485</v>
      </c>
      <c r="T127" s="856">
        <f t="shared" si="7"/>
        <v>-826.66666666666652</v>
      </c>
      <c r="U127" s="856">
        <f t="shared" si="7"/>
        <v>-670</v>
      </c>
      <c r="V127" s="357">
        <f t="shared" si="7"/>
        <v>21.083333333333485</v>
      </c>
      <c r="W127" s="856">
        <f t="shared" si="7"/>
        <v>-363.75000000000023</v>
      </c>
    </row>
  </sheetData>
  <conditionalFormatting sqref="I48:W74">
    <cfRule type="cellIs" dxfId="35" priority="1" operator="greaterThan">
      <formula>2000</formula>
    </cfRule>
  </conditionalFormatting>
  <conditionalFormatting sqref="J82:W87">
    <cfRule type="colorScale" priority="14">
      <colorScale>
        <cfvo type="min"/>
        <cfvo type="max"/>
        <color theme="9" tint="0.79998168889431442"/>
        <color theme="9"/>
      </colorScale>
    </cfRule>
  </conditionalFormatting>
  <pageMargins left="0.75" right="0.75" top="1" bottom="1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U65"/>
  <sheetViews>
    <sheetView workbookViewId="0">
      <selection activeCell="U24" sqref="U24"/>
    </sheetView>
  </sheetViews>
  <sheetFormatPr baseColWidth="10" defaultColWidth="11.5" defaultRowHeight="13"/>
  <cols>
    <col min="2" max="2" width="29.33203125" customWidth="1"/>
    <col min="8" max="8" width="11.5" style="666" customWidth="1"/>
  </cols>
  <sheetData>
    <row r="5" spans="2:12" ht="14" customHeight="1">
      <c r="B5" s="970" t="s">
        <v>159</v>
      </c>
      <c r="C5" s="970" t="s">
        <v>160</v>
      </c>
      <c r="D5" s="971" t="s">
        <v>65</v>
      </c>
      <c r="E5" s="971" t="s">
        <v>67</v>
      </c>
      <c r="F5" s="971" t="s">
        <v>161</v>
      </c>
      <c r="H5" s="816" t="s">
        <v>162</v>
      </c>
      <c r="I5" s="394" t="s">
        <v>160</v>
      </c>
      <c r="J5" s="394" t="s">
        <v>65</v>
      </c>
      <c r="K5" s="394" t="s">
        <v>67</v>
      </c>
      <c r="L5" s="394" t="s">
        <v>161</v>
      </c>
    </row>
    <row r="6" spans="2:12" ht="14" customHeight="1">
      <c r="B6" s="313">
        <v>2022</v>
      </c>
      <c r="C6" s="967" t="s">
        <v>163</v>
      </c>
      <c r="D6" s="316">
        <v>4085</v>
      </c>
      <c r="E6" s="316">
        <v>4045</v>
      </c>
      <c r="F6" s="315">
        <v>40</v>
      </c>
      <c r="H6" s="666">
        <v>2023</v>
      </c>
      <c r="I6" t="s">
        <v>163</v>
      </c>
      <c r="J6" s="813">
        <v>3900</v>
      </c>
      <c r="K6" s="813">
        <v>3495</v>
      </c>
      <c r="L6">
        <v>405</v>
      </c>
    </row>
    <row r="7" spans="2:12" ht="14" customHeight="1">
      <c r="B7" s="313">
        <v>2022</v>
      </c>
      <c r="C7" s="967" t="s">
        <v>164</v>
      </c>
      <c r="D7" s="316">
        <v>1885</v>
      </c>
      <c r="E7" s="316">
        <v>6470</v>
      </c>
      <c r="F7" s="407">
        <v>-4585</v>
      </c>
      <c r="H7" s="666">
        <v>2023</v>
      </c>
      <c r="I7" t="s">
        <v>164</v>
      </c>
      <c r="J7" s="813">
        <v>1790</v>
      </c>
      <c r="K7" s="813">
        <v>10430</v>
      </c>
      <c r="L7" s="814">
        <v>-8640</v>
      </c>
    </row>
    <row r="8" spans="2:12" ht="14" customHeight="1">
      <c r="B8" s="313">
        <v>2022</v>
      </c>
      <c r="C8" s="967" t="s">
        <v>165</v>
      </c>
      <c r="D8" s="316">
        <v>1890</v>
      </c>
      <c r="E8" s="316">
        <v>1880</v>
      </c>
      <c r="F8" s="315">
        <v>10</v>
      </c>
      <c r="H8" s="666">
        <v>2023</v>
      </c>
      <c r="I8" t="s">
        <v>165</v>
      </c>
      <c r="J8" s="813">
        <v>1770</v>
      </c>
      <c r="K8" s="813">
        <v>1825</v>
      </c>
      <c r="L8" s="667">
        <v>-55</v>
      </c>
    </row>
    <row r="9" spans="2:12" ht="14" customHeight="1">
      <c r="B9" s="313">
        <v>2022</v>
      </c>
      <c r="C9" s="967" t="s">
        <v>166</v>
      </c>
      <c r="D9" s="316">
        <v>9225</v>
      </c>
      <c r="E9" s="316">
        <v>2155</v>
      </c>
      <c r="F9" s="316">
        <v>7070</v>
      </c>
      <c r="H9" s="666">
        <v>2023</v>
      </c>
      <c r="I9" t="s">
        <v>166</v>
      </c>
      <c r="J9" s="813">
        <v>9700</v>
      </c>
      <c r="K9" s="813">
        <v>6045</v>
      </c>
      <c r="L9" s="813">
        <v>3655</v>
      </c>
    </row>
    <row r="10" spans="2:12" ht="14" customHeight="1">
      <c r="B10" s="313">
        <v>2022</v>
      </c>
      <c r="C10" s="967" t="s">
        <v>167</v>
      </c>
      <c r="D10" s="316">
        <v>2400</v>
      </c>
      <c r="E10" s="316">
        <v>2451</v>
      </c>
      <c r="F10" s="314">
        <v>-51</v>
      </c>
      <c r="H10" s="666">
        <v>2023</v>
      </c>
      <c r="I10" t="s">
        <v>167</v>
      </c>
      <c r="J10" s="813">
        <v>1830</v>
      </c>
      <c r="K10" s="813">
        <v>2730</v>
      </c>
      <c r="L10" s="667">
        <v>-900</v>
      </c>
    </row>
    <row r="11" spans="2:12" ht="14" customHeight="1">
      <c r="B11" s="313">
        <v>2022</v>
      </c>
      <c r="C11" s="967" t="s">
        <v>168</v>
      </c>
      <c r="D11" s="316">
        <v>1845</v>
      </c>
      <c r="E11" s="316">
        <v>2065</v>
      </c>
      <c r="F11" s="314">
        <v>-220</v>
      </c>
      <c r="H11" s="666">
        <v>2023</v>
      </c>
      <c r="I11" t="s">
        <v>168</v>
      </c>
      <c r="J11" s="813">
        <v>1840</v>
      </c>
      <c r="K11" s="813">
        <v>2770</v>
      </c>
      <c r="L11" s="667">
        <v>-930</v>
      </c>
    </row>
    <row r="12" spans="2:12" ht="14" customHeight="1">
      <c r="B12" s="313">
        <v>2022</v>
      </c>
      <c r="C12" s="967" t="s">
        <v>169</v>
      </c>
      <c r="D12" s="316">
        <v>4025</v>
      </c>
      <c r="E12" s="316">
        <v>3040</v>
      </c>
      <c r="F12" s="315">
        <v>985</v>
      </c>
      <c r="H12" s="666">
        <v>2023</v>
      </c>
      <c r="I12" t="s">
        <v>169</v>
      </c>
      <c r="J12" s="813">
        <v>4095</v>
      </c>
      <c r="K12" s="813">
        <v>3575</v>
      </c>
      <c r="L12">
        <v>520</v>
      </c>
    </row>
    <row r="13" spans="2:12" ht="14" customHeight="1">
      <c r="B13" s="313">
        <v>2022</v>
      </c>
      <c r="C13" s="967" t="s">
        <v>170</v>
      </c>
      <c r="D13" s="316">
        <v>2525</v>
      </c>
      <c r="E13" s="316">
        <v>4016</v>
      </c>
      <c r="F13" s="407">
        <v>-1491</v>
      </c>
      <c r="H13" s="666">
        <v>2023</v>
      </c>
      <c r="I13" t="s">
        <v>170</v>
      </c>
      <c r="J13" s="813">
        <v>2915</v>
      </c>
      <c r="K13" s="813">
        <v>3120</v>
      </c>
      <c r="L13" s="667">
        <v>-205</v>
      </c>
    </row>
    <row r="14" spans="2:12" ht="14" customHeight="1">
      <c r="B14" s="313">
        <v>2022</v>
      </c>
      <c r="C14" s="967" t="s">
        <v>171</v>
      </c>
      <c r="D14" s="316">
        <v>1880</v>
      </c>
      <c r="E14" s="316">
        <v>4700</v>
      </c>
      <c r="F14" s="407">
        <v>-2820</v>
      </c>
      <c r="H14" s="666">
        <v>2023</v>
      </c>
      <c r="I14" t="s">
        <v>171</v>
      </c>
      <c r="J14" s="813">
        <v>1955</v>
      </c>
      <c r="K14" s="813">
        <v>2060</v>
      </c>
      <c r="L14" s="667">
        <v>-105</v>
      </c>
    </row>
    <row r="15" spans="2:12" ht="14" customHeight="1">
      <c r="B15" s="313">
        <v>2022</v>
      </c>
      <c r="C15" s="967" t="s">
        <v>172</v>
      </c>
      <c r="D15" s="316">
        <v>3980</v>
      </c>
      <c r="E15" s="316">
        <v>3545</v>
      </c>
      <c r="F15" s="315">
        <v>435</v>
      </c>
      <c r="H15" s="666">
        <v>2023</v>
      </c>
      <c r="I15" t="s">
        <v>172</v>
      </c>
      <c r="J15" s="813">
        <v>4235</v>
      </c>
      <c r="K15" s="813">
        <v>4420</v>
      </c>
      <c r="L15" s="667">
        <v>-185</v>
      </c>
    </row>
    <row r="16" spans="2:12" ht="14" customHeight="1">
      <c r="B16" s="313">
        <v>2022</v>
      </c>
      <c r="C16" s="967" t="s">
        <v>173</v>
      </c>
      <c r="D16" s="316">
        <v>1800</v>
      </c>
      <c r="E16" s="316">
        <v>2165</v>
      </c>
      <c r="F16" s="314">
        <v>-365</v>
      </c>
      <c r="H16" s="666">
        <v>2023</v>
      </c>
      <c r="I16" t="s">
        <v>173</v>
      </c>
      <c r="J16" s="813">
        <v>1975</v>
      </c>
      <c r="K16" s="813">
        <v>2690</v>
      </c>
      <c r="L16" s="667">
        <v>-715</v>
      </c>
    </row>
    <row r="17" spans="2:21" ht="14" customHeight="1">
      <c r="B17" s="313">
        <v>2022</v>
      </c>
      <c r="C17" s="967" t="s">
        <v>174</v>
      </c>
      <c r="D17" s="316">
        <v>1790</v>
      </c>
      <c r="E17" s="316">
        <v>2140</v>
      </c>
      <c r="F17" s="314">
        <v>-350</v>
      </c>
      <c r="H17" s="666">
        <v>2023</v>
      </c>
      <c r="I17" t="s">
        <v>174</v>
      </c>
      <c r="J17" s="813">
        <v>1975</v>
      </c>
      <c r="K17" s="813">
        <v>3275</v>
      </c>
      <c r="L17" s="814">
        <v>-1300</v>
      </c>
    </row>
    <row r="18" spans="2:21" ht="12.75" customHeight="1">
      <c r="B18" s="1017" t="s">
        <v>175</v>
      </c>
      <c r="C18" s="1016"/>
      <c r="D18" s="322">
        <v>37330</v>
      </c>
      <c r="E18" s="322">
        <v>38672</v>
      </c>
      <c r="F18" s="322">
        <v>-1342</v>
      </c>
      <c r="H18" s="1016" t="s">
        <v>175</v>
      </c>
      <c r="I18" s="1016"/>
      <c r="J18" s="815">
        <v>37980</v>
      </c>
      <c r="K18" s="815">
        <v>46435</v>
      </c>
      <c r="L18" s="815">
        <v>-8455</v>
      </c>
    </row>
    <row r="22" spans="2:21" ht="14" customHeight="1">
      <c r="B22" s="970" t="s">
        <v>176</v>
      </c>
      <c r="C22" s="971" t="s">
        <v>177</v>
      </c>
      <c r="D22" s="971" t="s">
        <v>93</v>
      </c>
      <c r="F22">
        <v>2023</v>
      </c>
    </row>
    <row r="23" spans="2:21" ht="14" customHeight="1">
      <c r="B23" s="313" t="s">
        <v>178</v>
      </c>
      <c r="C23" s="314">
        <v>-175</v>
      </c>
      <c r="D23" s="313"/>
      <c r="H23" t="s">
        <v>163</v>
      </c>
      <c r="I23" s="666" t="s">
        <v>164</v>
      </c>
      <c r="J23" t="s">
        <v>165</v>
      </c>
      <c r="K23" t="s">
        <v>166</v>
      </c>
      <c r="L23" t="s">
        <v>167</v>
      </c>
      <c r="M23" s="666" t="s">
        <v>168</v>
      </c>
      <c r="N23" t="s">
        <v>169</v>
      </c>
      <c r="O23" t="s">
        <v>170</v>
      </c>
      <c r="P23" t="s">
        <v>171</v>
      </c>
      <c r="Q23" s="666" t="s">
        <v>172</v>
      </c>
      <c r="R23" t="s">
        <v>173</v>
      </c>
      <c r="S23" t="s">
        <v>174</v>
      </c>
    </row>
    <row r="24" spans="2:21" ht="14" customHeight="1">
      <c r="B24" s="313" t="s">
        <v>179</v>
      </c>
      <c r="C24" s="314">
        <v>-400</v>
      </c>
      <c r="D24" s="313"/>
      <c r="F24" t="s">
        <v>180</v>
      </c>
      <c r="H24">
        <v>0</v>
      </c>
      <c r="I24" s="666">
        <v>0</v>
      </c>
      <c r="J24">
        <v>0</v>
      </c>
      <c r="K24" s="813">
        <v>-2300</v>
      </c>
      <c r="L24">
        <v>-240</v>
      </c>
      <c r="M24">
        <v>-225</v>
      </c>
      <c r="N24">
        <v>-250</v>
      </c>
      <c r="O24">
        <v>-150</v>
      </c>
      <c r="P24">
        <v>-160</v>
      </c>
      <c r="Q24">
        <v>-795</v>
      </c>
      <c r="R24">
        <v>-95</v>
      </c>
      <c r="S24">
        <v>-130</v>
      </c>
      <c r="T24" s="813">
        <v>-4345</v>
      </c>
      <c r="U24" s="829">
        <f t="shared" ref="U24:U60" si="0">AVERAGE(H24:S24)</f>
        <v>-362.08333333333331</v>
      </c>
    </row>
    <row r="25" spans="2:21" ht="14" customHeight="1">
      <c r="B25" s="313" t="s">
        <v>181</v>
      </c>
      <c r="C25" s="314">
        <v>-70</v>
      </c>
      <c r="D25" s="313"/>
      <c r="F25" t="s">
        <v>182</v>
      </c>
      <c r="H25">
        <v>-10</v>
      </c>
      <c r="I25" s="666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-10</v>
      </c>
      <c r="S25">
        <v>0</v>
      </c>
      <c r="T25">
        <v>-20</v>
      </c>
      <c r="U25" s="829">
        <f t="shared" si="0"/>
        <v>-1.6666666666666667</v>
      </c>
    </row>
    <row r="26" spans="2:21" ht="14" customHeight="1">
      <c r="B26" s="313" t="s">
        <v>182</v>
      </c>
      <c r="C26" s="314">
        <v>-30</v>
      </c>
      <c r="D26" s="313"/>
      <c r="F26" t="s">
        <v>178</v>
      </c>
      <c r="H26">
        <v>0</v>
      </c>
      <c r="I26" s="666">
        <v>-20</v>
      </c>
      <c r="J26">
        <v>-20</v>
      </c>
      <c r="K26">
        <v>0</v>
      </c>
      <c r="L26">
        <v>-20</v>
      </c>
      <c r="M26">
        <v>-20</v>
      </c>
      <c r="N26">
        <v>-30</v>
      </c>
      <c r="O26">
        <v>-20</v>
      </c>
      <c r="P26">
        <v>-20</v>
      </c>
      <c r="Q26">
        <v>-40</v>
      </c>
      <c r="R26">
        <v>0</v>
      </c>
      <c r="S26">
        <v>-30</v>
      </c>
      <c r="T26">
        <v>-220</v>
      </c>
      <c r="U26" s="829">
        <f t="shared" si="0"/>
        <v>-18.333333333333332</v>
      </c>
    </row>
    <row r="27" spans="2:21" ht="14" customHeight="1">
      <c r="B27" s="313" t="s">
        <v>183</v>
      </c>
      <c r="C27" s="314">
        <v>-45</v>
      </c>
      <c r="D27" s="313"/>
      <c r="F27" t="s">
        <v>183</v>
      </c>
      <c r="H27">
        <v>0</v>
      </c>
      <c r="I27" s="666">
        <v>-5</v>
      </c>
      <c r="J27">
        <v>0</v>
      </c>
      <c r="K27">
        <v>0</v>
      </c>
      <c r="L27">
        <v>-5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-25</v>
      </c>
      <c r="T27">
        <v>-35</v>
      </c>
      <c r="U27" s="829">
        <f t="shared" si="0"/>
        <v>-2.9166666666666665</v>
      </c>
    </row>
    <row r="28" spans="2:21" ht="14" customHeight="1">
      <c r="B28" s="313" t="s">
        <v>184</v>
      </c>
      <c r="C28" s="313"/>
      <c r="D28" s="314">
        <v>-720</v>
      </c>
      <c r="F28" t="s">
        <v>181</v>
      </c>
      <c r="H28">
        <v>-100</v>
      </c>
      <c r="I28" s="666">
        <v>0</v>
      </c>
      <c r="J28">
        <v>0</v>
      </c>
      <c r="K28">
        <v>0</v>
      </c>
      <c r="L28">
        <v>-70</v>
      </c>
      <c r="M28">
        <v>0</v>
      </c>
      <c r="N28">
        <v>-120</v>
      </c>
      <c r="O28">
        <v>0</v>
      </c>
      <c r="P28">
        <v>0</v>
      </c>
      <c r="Q28">
        <v>0</v>
      </c>
      <c r="R28">
        <v>0</v>
      </c>
      <c r="S28">
        <v>0</v>
      </c>
      <c r="T28">
        <v>-290</v>
      </c>
      <c r="U28" s="829">
        <f t="shared" si="0"/>
        <v>-24.166666666666668</v>
      </c>
    </row>
    <row r="29" spans="2:21" ht="14" customHeight="1">
      <c r="B29" s="313" t="s">
        <v>185</v>
      </c>
      <c r="C29" s="407">
        <v>-3840</v>
      </c>
      <c r="D29" s="407">
        <v>-3840</v>
      </c>
      <c r="F29" t="s">
        <v>179</v>
      </c>
      <c r="H29">
        <v>0</v>
      </c>
      <c r="I29" s="828">
        <v>-8500</v>
      </c>
      <c r="J29">
        <v>-280</v>
      </c>
      <c r="K29" s="813">
        <v>-1300</v>
      </c>
      <c r="L29">
        <v>-280</v>
      </c>
      <c r="M29">
        <v>0</v>
      </c>
      <c r="N29">
        <v>0</v>
      </c>
      <c r="O29">
        <v>0</v>
      </c>
      <c r="P29">
        <v>0</v>
      </c>
      <c r="Q29" s="813">
        <v>-1000</v>
      </c>
      <c r="R29">
        <v>0</v>
      </c>
      <c r="S29">
        <v>0</v>
      </c>
      <c r="T29" s="813">
        <v>-11360</v>
      </c>
      <c r="U29" s="829">
        <f t="shared" si="0"/>
        <v>-946.66666666666663</v>
      </c>
    </row>
    <row r="30" spans="2:21" ht="14" customHeight="1">
      <c r="B30" s="313" t="s">
        <v>186</v>
      </c>
      <c r="C30" s="314">
        <v>-260</v>
      </c>
      <c r="D30" s="313"/>
      <c r="F30" t="s">
        <v>185</v>
      </c>
      <c r="H30">
        <v>-285</v>
      </c>
      <c r="I30" s="666">
        <v>-275</v>
      </c>
      <c r="J30">
        <v>-300</v>
      </c>
      <c r="K30">
        <v>-405</v>
      </c>
      <c r="L30">
        <v>-370</v>
      </c>
      <c r="M30">
        <v>-480</v>
      </c>
      <c r="N30">
        <v>-375</v>
      </c>
      <c r="O30">
        <v>-275</v>
      </c>
      <c r="P30">
        <v>-445</v>
      </c>
      <c r="Q30">
        <v>-415</v>
      </c>
      <c r="R30">
        <v>-475</v>
      </c>
      <c r="S30">
        <v>-450</v>
      </c>
      <c r="T30" s="813">
        <v>-4550</v>
      </c>
      <c r="U30" s="829">
        <f t="shared" si="0"/>
        <v>-379.16666666666669</v>
      </c>
    </row>
    <row r="31" spans="2:21" ht="14" customHeight="1">
      <c r="B31" s="313" t="s">
        <v>187</v>
      </c>
      <c r="C31" s="314">
        <v>-25</v>
      </c>
      <c r="D31" s="313"/>
      <c r="F31" t="s">
        <v>187</v>
      </c>
      <c r="H31">
        <v>0</v>
      </c>
      <c r="I31" s="666">
        <v>0</v>
      </c>
      <c r="J31">
        <v>0</v>
      </c>
      <c r="K31">
        <v>0</v>
      </c>
      <c r="L31">
        <v>-25</v>
      </c>
      <c r="M31">
        <v>0</v>
      </c>
      <c r="N31">
        <v>0</v>
      </c>
      <c r="O31">
        <v>0</v>
      </c>
      <c r="P31">
        <v>-45</v>
      </c>
      <c r="Q31">
        <v>-50</v>
      </c>
      <c r="R31">
        <v>0</v>
      </c>
      <c r="S31">
        <v>0</v>
      </c>
      <c r="T31">
        <v>-120</v>
      </c>
      <c r="U31" s="829">
        <f t="shared" si="0"/>
        <v>-10</v>
      </c>
    </row>
    <row r="32" spans="2:21" ht="14" customHeight="1">
      <c r="B32" s="313" t="s">
        <v>184</v>
      </c>
      <c r="C32" s="313"/>
      <c r="D32" s="314">
        <v>-285</v>
      </c>
      <c r="F32" t="s">
        <v>186</v>
      </c>
      <c r="H32">
        <v>-65</v>
      </c>
      <c r="I32" s="666">
        <v>0</v>
      </c>
      <c r="J32">
        <v>0</v>
      </c>
      <c r="K32">
        <v>-65</v>
      </c>
      <c r="L32">
        <v>0</v>
      </c>
      <c r="M32">
        <v>0</v>
      </c>
      <c r="N32">
        <v>-65</v>
      </c>
      <c r="O32">
        <v>0</v>
      </c>
      <c r="P32">
        <v>0</v>
      </c>
      <c r="Q32">
        <v>-105</v>
      </c>
      <c r="R32">
        <v>-15</v>
      </c>
      <c r="S32">
        <v>-15</v>
      </c>
      <c r="T32">
        <v>-330</v>
      </c>
      <c r="U32" s="829">
        <f t="shared" si="0"/>
        <v>-27.5</v>
      </c>
    </row>
    <row r="33" spans="2:21" ht="14" customHeight="1">
      <c r="B33" s="313" t="s">
        <v>188</v>
      </c>
      <c r="C33" s="314">
        <v>-5</v>
      </c>
      <c r="D33" s="314">
        <v>-5</v>
      </c>
      <c r="F33" t="s">
        <v>188</v>
      </c>
      <c r="H33">
        <v>0</v>
      </c>
      <c r="I33" s="666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-5</v>
      </c>
      <c r="S33">
        <v>0</v>
      </c>
      <c r="T33">
        <v>-5</v>
      </c>
      <c r="U33" s="829">
        <f t="shared" si="0"/>
        <v>-0.41666666666666669</v>
      </c>
    </row>
    <row r="34" spans="2:21" ht="14" customHeight="1">
      <c r="B34" s="313" t="s">
        <v>189</v>
      </c>
      <c r="C34" s="314">
        <v>-340</v>
      </c>
      <c r="D34" s="313"/>
      <c r="F34" t="s">
        <v>190</v>
      </c>
      <c r="H34">
        <v>-35</v>
      </c>
      <c r="I34" s="666">
        <v>-35</v>
      </c>
      <c r="J34">
        <v>-35</v>
      </c>
      <c r="K34">
        <v>-40</v>
      </c>
      <c r="L34">
        <v>-40</v>
      </c>
      <c r="M34">
        <v>-40</v>
      </c>
      <c r="N34">
        <v>-40</v>
      </c>
      <c r="O34">
        <v>-40</v>
      </c>
      <c r="P34">
        <v>-40</v>
      </c>
      <c r="Q34">
        <v>-40</v>
      </c>
      <c r="R34">
        <v>-40</v>
      </c>
      <c r="S34">
        <v>-40</v>
      </c>
      <c r="T34">
        <v>-465</v>
      </c>
      <c r="U34" s="829">
        <f t="shared" si="0"/>
        <v>-38.75</v>
      </c>
    </row>
    <row r="35" spans="2:21" ht="14" customHeight="1">
      <c r="B35" s="313" t="s">
        <v>191</v>
      </c>
      <c r="C35" s="407">
        <v>-9940</v>
      </c>
      <c r="D35" s="313"/>
      <c r="F35" t="s">
        <v>192</v>
      </c>
      <c r="H35">
        <v>0</v>
      </c>
      <c r="I35" s="666">
        <v>-125</v>
      </c>
      <c r="J35">
        <v>0</v>
      </c>
      <c r="K35">
        <v>-110</v>
      </c>
      <c r="L35">
        <v>0</v>
      </c>
      <c r="M35">
        <v>-100</v>
      </c>
      <c r="N35">
        <v>0</v>
      </c>
      <c r="O35">
        <v>-100</v>
      </c>
      <c r="P35">
        <v>0</v>
      </c>
      <c r="Q35">
        <v>-85</v>
      </c>
      <c r="R35">
        <v>0</v>
      </c>
      <c r="S35">
        <v>-50</v>
      </c>
      <c r="T35">
        <v>-570</v>
      </c>
      <c r="U35" s="829">
        <f t="shared" si="0"/>
        <v>-47.5</v>
      </c>
    </row>
    <row r="36" spans="2:21" ht="14" customHeight="1">
      <c r="B36" s="313" t="s">
        <v>192</v>
      </c>
      <c r="C36" s="314">
        <v>-665</v>
      </c>
      <c r="D36" s="313"/>
      <c r="F36" t="s">
        <v>193</v>
      </c>
      <c r="H36">
        <v>0</v>
      </c>
      <c r="I36" s="666">
        <v>-45</v>
      </c>
      <c r="J36">
        <v>0</v>
      </c>
      <c r="K36">
        <v>-60</v>
      </c>
      <c r="L36">
        <v>0</v>
      </c>
      <c r="M36">
        <v>-25</v>
      </c>
      <c r="N36">
        <v>0</v>
      </c>
      <c r="O36">
        <v>-20</v>
      </c>
      <c r="P36">
        <v>0</v>
      </c>
      <c r="Q36">
        <v>-25</v>
      </c>
      <c r="R36">
        <v>0</v>
      </c>
      <c r="S36">
        <v>-20</v>
      </c>
      <c r="T36">
        <v>-195</v>
      </c>
      <c r="U36" s="829">
        <f t="shared" si="0"/>
        <v>-16.25</v>
      </c>
    </row>
    <row r="37" spans="2:21" ht="14" customHeight="1">
      <c r="B37" s="313" t="s">
        <v>193</v>
      </c>
      <c r="C37" s="314">
        <v>-190</v>
      </c>
      <c r="D37" s="313"/>
      <c r="F37" t="s">
        <v>191</v>
      </c>
      <c r="H37">
        <v>-870</v>
      </c>
      <c r="I37" s="666">
        <v>-870</v>
      </c>
      <c r="J37">
        <v>-870</v>
      </c>
      <c r="K37">
        <v>-870</v>
      </c>
      <c r="L37">
        <v>-870</v>
      </c>
      <c r="M37">
        <v>-870</v>
      </c>
      <c r="N37">
        <v>-870</v>
      </c>
      <c r="O37">
        <v>-870</v>
      </c>
      <c r="P37">
        <v>-870</v>
      </c>
      <c r="Q37">
        <v>-870</v>
      </c>
      <c r="R37">
        <v>-870</v>
      </c>
      <c r="S37">
        <v>-870</v>
      </c>
      <c r="T37" s="813">
        <v>-10440</v>
      </c>
      <c r="U37" s="829">
        <f t="shared" si="0"/>
        <v>-870</v>
      </c>
    </row>
    <row r="38" spans="2:21" ht="14" customHeight="1">
      <c r="B38" s="313" t="s">
        <v>190</v>
      </c>
      <c r="C38" s="314">
        <v>-420</v>
      </c>
      <c r="D38" s="313"/>
      <c r="F38" t="s">
        <v>189</v>
      </c>
      <c r="H38">
        <v>0</v>
      </c>
      <c r="I38" s="666">
        <v>-55</v>
      </c>
      <c r="J38">
        <v>0</v>
      </c>
      <c r="K38">
        <v>-55</v>
      </c>
      <c r="L38">
        <v>0</v>
      </c>
      <c r="M38">
        <v>-55</v>
      </c>
      <c r="N38">
        <v>0</v>
      </c>
      <c r="O38">
        <v>-55</v>
      </c>
      <c r="P38">
        <v>0</v>
      </c>
      <c r="Q38">
        <v>-55</v>
      </c>
      <c r="R38">
        <v>0</v>
      </c>
      <c r="S38">
        <v>-55</v>
      </c>
      <c r="T38">
        <v>-330</v>
      </c>
      <c r="U38" s="829">
        <f t="shared" si="0"/>
        <v>-27.5</v>
      </c>
    </row>
    <row r="39" spans="2:21" ht="14" customHeight="1">
      <c r="B39" s="313" t="s">
        <v>184</v>
      </c>
      <c r="C39" s="313"/>
      <c r="D39" s="407">
        <v>-11555</v>
      </c>
      <c r="F39" t="s">
        <v>194</v>
      </c>
      <c r="H39">
        <v>0</v>
      </c>
      <c r="I39" s="666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-5</v>
      </c>
      <c r="Q39">
        <v>0</v>
      </c>
      <c r="R39">
        <v>0</v>
      </c>
      <c r="S39">
        <v>0</v>
      </c>
      <c r="T39">
        <v>-5</v>
      </c>
      <c r="U39" s="829">
        <f t="shared" si="0"/>
        <v>-0.41666666666666669</v>
      </c>
    </row>
    <row r="40" spans="2:21" ht="14" customHeight="1">
      <c r="B40" s="313" t="s">
        <v>195</v>
      </c>
      <c r="C40" s="314">
        <v>-185</v>
      </c>
      <c r="D40" s="313"/>
      <c r="F40" t="s">
        <v>196</v>
      </c>
      <c r="H40">
        <v>-50</v>
      </c>
      <c r="I40" s="666">
        <v>-45</v>
      </c>
      <c r="J40">
        <v>-110</v>
      </c>
      <c r="K40">
        <v>-275</v>
      </c>
      <c r="L40">
        <v>-535</v>
      </c>
      <c r="M40">
        <v>-600</v>
      </c>
      <c r="N40">
        <v>-115</v>
      </c>
      <c r="O40">
        <v>-30</v>
      </c>
      <c r="P40">
        <v>-40</v>
      </c>
      <c r="Q40">
        <v>-90</v>
      </c>
      <c r="R40">
        <v>-50</v>
      </c>
      <c r="S40">
        <v>-50</v>
      </c>
      <c r="T40" s="813">
        <v>-1990</v>
      </c>
      <c r="U40" s="829">
        <f t="shared" si="0"/>
        <v>-165.83333333333334</v>
      </c>
    </row>
    <row r="41" spans="2:21" ht="14" customHeight="1">
      <c r="B41" s="313" t="s">
        <v>196</v>
      </c>
      <c r="C41" s="407">
        <v>-2845</v>
      </c>
      <c r="D41" s="313"/>
      <c r="F41" t="s">
        <v>197</v>
      </c>
      <c r="H41">
        <v>0</v>
      </c>
      <c r="I41" s="666">
        <v>0</v>
      </c>
      <c r="J41">
        <v>0</v>
      </c>
      <c r="K41">
        <v>-35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-35</v>
      </c>
      <c r="U41" s="829">
        <f t="shared" si="0"/>
        <v>-2.9166666666666665</v>
      </c>
    </row>
    <row r="42" spans="2:21" ht="14" customHeight="1">
      <c r="B42" s="313" t="s">
        <v>194</v>
      </c>
      <c r="C42" s="314">
        <v>-160</v>
      </c>
      <c r="D42" s="313"/>
      <c r="F42" t="s">
        <v>198</v>
      </c>
      <c r="H42" s="813">
        <v>3900</v>
      </c>
      <c r="I42" s="828">
        <v>1790</v>
      </c>
      <c r="J42" s="813">
        <v>1770</v>
      </c>
      <c r="K42" s="813">
        <v>9700</v>
      </c>
      <c r="L42" s="813">
        <v>1830</v>
      </c>
      <c r="M42" s="813">
        <v>1840</v>
      </c>
      <c r="N42" s="813">
        <v>4095</v>
      </c>
      <c r="O42" s="813">
        <v>2915</v>
      </c>
      <c r="P42" s="813">
        <v>1955</v>
      </c>
      <c r="Q42" s="813">
        <v>4235</v>
      </c>
      <c r="R42" s="813">
        <v>1975</v>
      </c>
      <c r="S42" s="813">
        <v>1975</v>
      </c>
      <c r="T42" s="813">
        <v>37980</v>
      </c>
      <c r="U42" s="829">
        <f t="shared" si="0"/>
        <v>3165</v>
      </c>
    </row>
    <row r="43" spans="2:21" ht="14" customHeight="1">
      <c r="B43" s="313" t="s">
        <v>199</v>
      </c>
      <c r="C43" s="314">
        <v>-40</v>
      </c>
      <c r="D43" s="313"/>
      <c r="F43" t="s">
        <v>121</v>
      </c>
      <c r="H43">
        <v>-25</v>
      </c>
      <c r="I43" s="666">
        <v>-55</v>
      </c>
      <c r="J43">
        <v>-35</v>
      </c>
      <c r="K43">
        <v>-95</v>
      </c>
      <c r="L43">
        <v>-75</v>
      </c>
      <c r="M43">
        <v>-60</v>
      </c>
      <c r="N43">
        <v>-30</v>
      </c>
      <c r="O43">
        <v>-50</v>
      </c>
      <c r="P43">
        <v>-30</v>
      </c>
      <c r="Q43">
        <v>-45</v>
      </c>
      <c r="R43">
        <v>-85</v>
      </c>
      <c r="S43">
        <v>-85</v>
      </c>
      <c r="T43">
        <v>-670</v>
      </c>
      <c r="U43" s="829">
        <f t="shared" si="0"/>
        <v>-55.833333333333336</v>
      </c>
    </row>
    <row r="44" spans="2:21" ht="14" customHeight="1">
      <c r="B44" s="313" t="s">
        <v>184</v>
      </c>
      <c r="C44" s="313"/>
      <c r="D44" s="407">
        <v>-3230</v>
      </c>
      <c r="F44" t="s">
        <v>123</v>
      </c>
      <c r="H44">
        <v>-35</v>
      </c>
      <c r="I44" s="666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-75</v>
      </c>
      <c r="P44">
        <v>0</v>
      </c>
      <c r="Q44">
        <v>0</v>
      </c>
      <c r="R44">
        <v>0</v>
      </c>
      <c r="S44">
        <v>0</v>
      </c>
      <c r="T44">
        <v>-110</v>
      </c>
      <c r="U44" s="829">
        <f t="shared" si="0"/>
        <v>-9.1666666666666661</v>
      </c>
    </row>
    <row r="45" spans="2:21" ht="14" customHeight="1">
      <c r="B45" s="313" t="s">
        <v>197</v>
      </c>
      <c r="C45" s="315">
        <v>575</v>
      </c>
      <c r="D45" s="315">
        <v>575</v>
      </c>
      <c r="F45" t="s">
        <v>200</v>
      </c>
      <c r="H45">
        <v>-50</v>
      </c>
      <c r="I45" s="666">
        <v>0</v>
      </c>
      <c r="J45">
        <v>0</v>
      </c>
      <c r="K45">
        <v>-50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-100</v>
      </c>
      <c r="U45" s="829">
        <f t="shared" si="0"/>
        <v>-8.3333333333333339</v>
      </c>
    </row>
    <row r="46" spans="2:21" ht="14" customHeight="1">
      <c r="B46" s="313" t="s">
        <v>198</v>
      </c>
      <c r="C46" s="316">
        <v>36755</v>
      </c>
      <c r="D46" s="316">
        <v>36755</v>
      </c>
      <c r="F46" t="s">
        <v>201</v>
      </c>
      <c r="H46">
        <v>-180</v>
      </c>
      <c r="I46" s="666">
        <v>-55</v>
      </c>
      <c r="J46">
        <v>-75</v>
      </c>
      <c r="K46">
        <v>-135</v>
      </c>
      <c r="L46">
        <v>-80</v>
      </c>
      <c r="M46">
        <v>-115</v>
      </c>
      <c r="N46">
        <v>-75</v>
      </c>
      <c r="O46">
        <v>-125</v>
      </c>
      <c r="P46">
        <v>-180</v>
      </c>
      <c r="Q46">
        <v>-190</v>
      </c>
      <c r="R46">
        <v>-65</v>
      </c>
      <c r="S46">
        <v>-200</v>
      </c>
      <c r="T46" s="813">
        <v>-1475</v>
      </c>
      <c r="U46" s="829">
        <f t="shared" si="0"/>
        <v>-122.91666666666667</v>
      </c>
    </row>
    <row r="47" spans="2:21" ht="14" customHeight="1">
      <c r="B47" s="313" t="s">
        <v>121</v>
      </c>
      <c r="C47" s="314">
        <v>-800</v>
      </c>
      <c r="D47" s="314">
        <v>-800</v>
      </c>
      <c r="F47" t="s">
        <v>202</v>
      </c>
      <c r="H47">
        <v>0</v>
      </c>
      <c r="I47" s="666">
        <v>0</v>
      </c>
      <c r="J47">
        <v>-10</v>
      </c>
      <c r="K47">
        <v>0</v>
      </c>
      <c r="L47">
        <v>0</v>
      </c>
      <c r="M47">
        <v>0</v>
      </c>
      <c r="N47">
        <v>-10</v>
      </c>
      <c r="O47">
        <v>0</v>
      </c>
      <c r="P47">
        <v>-160</v>
      </c>
      <c r="Q47">
        <v>-75</v>
      </c>
      <c r="R47">
        <v>0</v>
      </c>
      <c r="S47">
        <v>0</v>
      </c>
      <c r="T47">
        <v>-255</v>
      </c>
      <c r="U47" s="829">
        <f t="shared" si="0"/>
        <v>-21.25</v>
      </c>
    </row>
    <row r="48" spans="2:21" ht="14" customHeight="1">
      <c r="B48" s="313" t="s">
        <v>123</v>
      </c>
      <c r="C48" s="314">
        <v>-185</v>
      </c>
      <c r="D48" s="313"/>
      <c r="F48" t="s">
        <v>127</v>
      </c>
      <c r="H48">
        <v>-745</v>
      </c>
      <c r="I48" s="666">
        <v>0</v>
      </c>
      <c r="J48">
        <v>-40</v>
      </c>
      <c r="K48">
        <v>-115</v>
      </c>
      <c r="L48">
        <v>-60</v>
      </c>
      <c r="M48">
        <v>-50</v>
      </c>
      <c r="N48">
        <v>0</v>
      </c>
      <c r="O48">
        <v>0</v>
      </c>
      <c r="P48">
        <v>0</v>
      </c>
      <c r="Q48">
        <v>0</v>
      </c>
      <c r="R48">
        <v>0</v>
      </c>
      <c r="S48">
        <v>-210</v>
      </c>
      <c r="T48" s="813">
        <v>-1220</v>
      </c>
      <c r="U48" s="829">
        <f t="shared" si="0"/>
        <v>-101.66666666666667</v>
      </c>
    </row>
    <row r="49" spans="2:21" ht="14" customHeight="1">
      <c r="B49" s="313" t="s">
        <v>201</v>
      </c>
      <c r="C49" s="407">
        <v>-1365</v>
      </c>
      <c r="D49" s="313"/>
      <c r="F49" t="s">
        <v>203</v>
      </c>
      <c r="H49">
        <v>-10</v>
      </c>
      <c r="I49" s="666">
        <v>0</v>
      </c>
      <c r="J49">
        <v>-5</v>
      </c>
      <c r="K49">
        <v>0</v>
      </c>
      <c r="L49">
        <v>0</v>
      </c>
      <c r="M49">
        <v>-60</v>
      </c>
      <c r="N49">
        <v>0</v>
      </c>
      <c r="O49">
        <v>0</v>
      </c>
      <c r="P49">
        <v>0</v>
      </c>
      <c r="Q49">
        <v>0</v>
      </c>
      <c r="R49">
        <v>0</v>
      </c>
      <c r="S49">
        <v>-65</v>
      </c>
      <c r="T49">
        <v>-140</v>
      </c>
      <c r="U49" s="829">
        <f t="shared" si="0"/>
        <v>-11.666666666666666</v>
      </c>
    </row>
    <row r="50" spans="2:21" ht="14" customHeight="1">
      <c r="B50" s="313" t="s">
        <v>202</v>
      </c>
      <c r="C50" s="314">
        <v>-625</v>
      </c>
      <c r="D50" s="313"/>
      <c r="F50" t="s">
        <v>204</v>
      </c>
      <c r="H50">
        <v>0</v>
      </c>
      <c r="I50" s="666">
        <v>0</v>
      </c>
      <c r="J50">
        <v>0</v>
      </c>
      <c r="K50">
        <v>-75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</v>
      </c>
      <c r="U50" s="829">
        <f t="shared" si="0"/>
        <v>-6.25</v>
      </c>
    </row>
    <row r="51" spans="2:21" ht="14" customHeight="1">
      <c r="B51" s="313" t="s">
        <v>200</v>
      </c>
      <c r="C51" s="314">
        <v>-100</v>
      </c>
      <c r="D51" s="313"/>
      <c r="F51" t="s">
        <v>205</v>
      </c>
      <c r="H51">
        <v>-190</v>
      </c>
      <c r="I51" s="666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-190</v>
      </c>
      <c r="U51" s="829">
        <f t="shared" si="0"/>
        <v>-15.833333333333334</v>
      </c>
    </row>
    <row r="52" spans="2:21" ht="14" customHeight="1">
      <c r="B52" s="313" t="s">
        <v>184</v>
      </c>
      <c r="C52" s="313"/>
      <c r="D52" s="407">
        <v>-2275</v>
      </c>
      <c r="F52" t="s">
        <v>206</v>
      </c>
      <c r="H52">
        <v>-20</v>
      </c>
      <c r="I52" s="666">
        <v>-20</v>
      </c>
      <c r="J52">
        <v>-20</v>
      </c>
      <c r="K52">
        <v>-20</v>
      </c>
      <c r="L52">
        <v>-20</v>
      </c>
      <c r="M52">
        <v>-20</v>
      </c>
      <c r="N52">
        <v>-20</v>
      </c>
      <c r="O52">
        <v>-20</v>
      </c>
      <c r="P52">
        <v>-20</v>
      </c>
      <c r="Q52">
        <v>-20</v>
      </c>
      <c r="R52">
        <v>-20</v>
      </c>
      <c r="S52">
        <v>-20</v>
      </c>
      <c r="T52">
        <v>-240</v>
      </c>
      <c r="U52" s="829">
        <f t="shared" si="0"/>
        <v>-20</v>
      </c>
    </row>
    <row r="53" spans="2:21" ht="14" customHeight="1">
      <c r="B53" s="313" t="s">
        <v>127</v>
      </c>
      <c r="C53" s="314">
        <v>-695</v>
      </c>
      <c r="D53" s="314">
        <v>-695</v>
      </c>
      <c r="F53" t="s">
        <v>207</v>
      </c>
      <c r="H53">
        <v>0</v>
      </c>
      <c r="I53" s="666">
        <v>0</v>
      </c>
      <c r="J53">
        <v>0</v>
      </c>
      <c r="K53">
        <v>0</v>
      </c>
      <c r="L53">
        <v>0</v>
      </c>
      <c r="M53">
        <v>-10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</v>
      </c>
      <c r="U53" s="829">
        <f t="shared" si="0"/>
        <v>-0.83333333333333337</v>
      </c>
    </row>
    <row r="54" spans="2:21" ht="14" customHeight="1">
      <c r="B54" s="313" t="s">
        <v>203</v>
      </c>
      <c r="C54" s="314">
        <v>-150</v>
      </c>
      <c r="D54" s="314">
        <v>-150</v>
      </c>
      <c r="F54" t="s">
        <v>208</v>
      </c>
      <c r="H54">
        <v>-800</v>
      </c>
      <c r="I54" s="666">
        <v>-300</v>
      </c>
      <c r="J54">
        <v>0</v>
      </c>
      <c r="K54">
        <v>0</v>
      </c>
      <c r="L54">
        <v>0</v>
      </c>
      <c r="M54">
        <v>0</v>
      </c>
      <c r="N54" s="813">
        <v>-1000</v>
      </c>
      <c r="O54">
        <v>-500</v>
      </c>
      <c r="P54">
        <v>0</v>
      </c>
      <c r="Q54">
        <v>0</v>
      </c>
      <c r="R54">
        <v>0</v>
      </c>
      <c r="S54">
        <v>0</v>
      </c>
      <c r="T54" s="813">
        <v>-2600</v>
      </c>
      <c r="U54" s="829">
        <f t="shared" si="0"/>
        <v>-216.66666666666666</v>
      </c>
    </row>
    <row r="55" spans="2:21" ht="14" customHeight="1">
      <c r="B55" s="313" t="s">
        <v>206</v>
      </c>
      <c r="C55" s="314">
        <v>-205</v>
      </c>
      <c r="D55" s="313"/>
      <c r="F55" t="s">
        <v>209</v>
      </c>
      <c r="H55">
        <v>0</v>
      </c>
      <c r="I55" s="666">
        <v>0</v>
      </c>
      <c r="J55">
        <v>0</v>
      </c>
      <c r="K55">
        <v>0</v>
      </c>
      <c r="L55">
        <v>0</v>
      </c>
      <c r="M55">
        <v>0</v>
      </c>
      <c r="N55">
        <v>-25</v>
      </c>
      <c r="O55">
        <v>0</v>
      </c>
      <c r="P55">
        <v>0</v>
      </c>
      <c r="Q55">
        <v>0</v>
      </c>
      <c r="R55">
        <v>0</v>
      </c>
      <c r="S55">
        <v>0</v>
      </c>
      <c r="T55">
        <v>-25</v>
      </c>
      <c r="U55" s="829">
        <f t="shared" si="0"/>
        <v>-2.0833333333333335</v>
      </c>
    </row>
    <row r="56" spans="2:21" ht="14" customHeight="1">
      <c r="B56" s="313" t="s">
        <v>205</v>
      </c>
      <c r="C56" s="314">
        <v>-180</v>
      </c>
      <c r="D56" s="313"/>
      <c r="F56" t="s">
        <v>32</v>
      </c>
      <c r="H56">
        <v>0</v>
      </c>
      <c r="I56" s="666">
        <v>0</v>
      </c>
      <c r="J56">
        <v>0</v>
      </c>
      <c r="K56">
        <v>0</v>
      </c>
      <c r="L56">
        <v>0</v>
      </c>
      <c r="M56">
        <v>0</v>
      </c>
      <c r="N56">
        <v>-510</v>
      </c>
      <c r="O56">
        <v>-750</v>
      </c>
      <c r="P56">
        <v>0</v>
      </c>
      <c r="Q56">
        <v>-475</v>
      </c>
      <c r="R56">
        <v>-915</v>
      </c>
      <c r="S56">
        <v>-915</v>
      </c>
      <c r="T56" s="813">
        <v>-3565</v>
      </c>
      <c r="U56" s="829">
        <f t="shared" si="0"/>
        <v>-297.08333333333331</v>
      </c>
    </row>
    <row r="57" spans="2:21" ht="14" customHeight="1">
      <c r="B57" s="313" t="s">
        <v>184</v>
      </c>
      <c r="C57" s="313"/>
      <c r="D57" s="314">
        <v>-385</v>
      </c>
      <c r="F57" t="s">
        <v>9</v>
      </c>
      <c r="H57">
        <v>-25</v>
      </c>
      <c r="I57" s="666">
        <v>-25</v>
      </c>
      <c r="J57">
        <v>-25</v>
      </c>
      <c r="K57">
        <v>-40</v>
      </c>
      <c r="L57">
        <v>-40</v>
      </c>
      <c r="M57">
        <v>-40</v>
      </c>
      <c r="N57">
        <v>-40</v>
      </c>
      <c r="O57">
        <v>-40</v>
      </c>
      <c r="P57">
        <v>-45</v>
      </c>
      <c r="Q57">
        <v>-45</v>
      </c>
      <c r="R57">
        <v>-45</v>
      </c>
      <c r="S57">
        <v>-45</v>
      </c>
      <c r="T57">
        <v>-455</v>
      </c>
      <c r="U57" s="829">
        <f t="shared" si="0"/>
        <v>-37.916666666666664</v>
      </c>
    </row>
    <row r="58" spans="2:21" ht="14" customHeight="1">
      <c r="B58" s="313" t="s">
        <v>207</v>
      </c>
      <c r="C58" s="407">
        <v>-3855</v>
      </c>
      <c r="D58" s="407">
        <v>-3855</v>
      </c>
      <c r="F58" t="s">
        <v>65</v>
      </c>
      <c r="H58" s="813">
        <v>3900</v>
      </c>
      <c r="I58" s="828">
        <v>1790</v>
      </c>
      <c r="J58" s="813">
        <v>1770</v>
      </c>
      <c r="K58" s="813">
        <v>9700</v>
      </c>
      <c r="L58" s="813">
        <v>1830</v>
      </c>
      <c r="M58" s="813">
        <v>1840</v>
      </c>
      <c r="N58" s="813">
        <v>4095</v>
      </c>
      <c r="O58" s="813">
        <v>2915</v>
      </c>
      <c r="P58" s="813">
        <v>1955</v>
      </c>
      <c r="Q58" s="813">
        <v>4235</v>
      </c>
      <c r="R58" s="813">
        <v>1975</v>
      </c>
      <c r="S58" s="813">
        <v>1975</v>
      </c>
      <c r="T58" s="813">
        <v>37980</v>
      </c>
      <c r="U58" s="829">
        <f t="shared" si="0"/>
        <v>3165</v>
      </c>
    </row>
    <row r="59" spans="2:21" ht="14" customHeight="1">
      <c r="B59" s="313" t="s">
        <v>208</v>
      </c>
      <c r="C59" s="407">
        <v>-7300</v>
      </c>
      <c r="D59" s="407">
        <v>-7300</v>
      </c>
      <c r="F59" t="s">
        <v>67</v>
      </c>
      <c r="H59" s="813">
        <v>-3495</v>
      </c>
      <c r="I59" s="828">
        <v>-10430</v>
      </c>
      <c r="J59" s="813">
        <v>-1825</v>
      </c>
      <c r="K59" s="813">
        <v>-6045</v>
      </c>
      <c r="L59" s="813">
        <v>-2730</v>
      </c>
      <c r="M59" s="813">
        <v>-2770</v>
      </c>
      <c r="N59" s="813">
        <v>-3575</v>
      </c>
      <c r="O59" s="813">
        <v>-3120</v>
      </c>
      <c r="P59" s="813">
        <v>-2060</v>
      </c>
      <c r="Q59" s="813">
        <v>-4420</v>
      </c>
      <c r="R59" s="813">
        <v>-2690</v>
      </c>
      <c r="S59" s="813">
        <v>-3275</v>
      </c>
      <c r="T59" s="813">
        <v>-46435</v>
      </c>
      <c r="U59" s="829">
        <f t="shared" si="0"/>
        <v>-3869.5833333333335</v>
      </c>
    </row>
    <row r="60" spans="2:21" ht="14" customHeight="1">
      <c r="B60" s="313" t="s">
        <v>209</v>
      </c>
      <c r="C60" s="314">
        <v>-62</v>
      </c>
      <c r="D60" s="314">
        <v>-62</v>
      </c>
      <c r="F60" t="s">
        <v>93</v>
      </c>
      <c r="H60">
        <v>405</v>
      </c>
      <c r="I60" s="828">
        <v>-8640</v>
      </c>
      <c r="J60">
        <v>-55</v>
      </c>
      <c r="K60" s="813">
        <v>3655</v>
      </c>
      <c r="L60">
        <v>-900</v>
      </c>
      <c r="M60">
        <v>-930</v>
      </c>
      <c r="N60">
        <v>520</v>
      </c>
      <c r="O60">
        <v>-205</v>
      </c>
      <c r="P60">
        <v>-105</v>
      </c>
      <c r="Q60">
        <v>-185</v>
      </c>
      <c r="R60">
        <v>-715</v>
      </c>
      <c r="S60" s="813">
        <v>-1300</v>
      </c>
      <c r="T60" s="813">
        <v>-8455</v>
      </c>
      <c r="U60" s="829">
        <f t="shared" si="0"/>
        <v>-704.58333333333337</v>
      </c>
    </row>
    <row r="61" spans="2:21" ht="14" customHeight="1">
      <c r="B61" s="313" t="s">
        <v>32</v>
      </c>
      <c r="C61" s="407">
        <v>-3215</v>
      </c>
      <c r="D61" s="407">
        <v>-3215</v>
      </c>
    </row>
    <row r="62" spans="2:21" ht="14" customHeight="1">
      <c r="B62" s="313" t="s">
        <v>9</v>
      </c>
      <c r="C62" s="314">
        <v>-300</v>
      </c>
      <c r="D62" s="314">
        <v>-300</v>
      </c>
    </row>
    <row r="63" spans="2:21">
      <c r="B63" s="1015" t="s">
        <v>210</v>
      </c>
      <c r="C63" s="1016"/>
      <c r="D63" s="408">
        <v>-38672</v>
      </c>
    </row>
    <row r="64" spans="2:21">
      <c r="B64" s="1015" t="s">
        <v>211</v>
      </c>
      <c r="C64" s="1016"/>
      <c r="D64" s="409">
        <v>37330</v>
      </c>
    </row>
    <row r="65" spans="2:4">
      <c r="B65" s="1015" t="s">
        <v>212</v>
      </c>
      <c r="C65" s="1016"/>
      <c r="D65" s="408">
        <v>-1342</v>
      </c>
    </row>
  </sheetData>
  <mergeCells count="5">
    <mergeCell ref="B64:C64"/>
    <mergeCell ref="H18:I18"/>
    <mergeCell ref="B63:C63"/>
    <mergeCell ref="B18:C18"/>
    <mergeCell ref="B65:C65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D65"/>
  <sheetViews>
    <sheetView showGridLines="0" zoomScaleNormal="100" workbookViewId="0">
      <pane xSplit="2" ySplit="4" topLeftCell="Q5" activePane="bottomRight" state="frozen"/>
      <selection pane="topRight" activeCell="C1" sqref="C1"/>
      <selection pane="bottomLeft" activeCell="A38" sqref="A38"/>
      <selection pane="bottomRight" activeCell="T38" sqref="T38"/>
    </sheetView>
  </sheetViews>
  <sheetFormatPr baseColWidth="10" defaultColWidth="9.1640625" defaultRowHeight="12.75" customHeight="1"/>
  <cols>
    <col min="1" max="1" width="4.83203125" customWidth="1"/>
    <col min="2" max="2" width="36.83203125" customWidth="1"/>
    <col min="3" max="8" width="11.33203125" customWidth="1"/>
    <col min="9" max="9" width="12.6640625" customWidth="1"/>
    <col min="10" max="16" width="11.33203125" customWidth="1"/>
    <col min="17" max="17" width="11.5" bestFit="1" customWidth="1"/>
    <col min="18" max="19" width="11.5" customWidth="1"/>
    <col min="20" max="20" width="11.33203125" customWidth="1"/>
    <col min="21" max="21" width="11.5" bestFit="1" customWidth="1"/>
    <col min="22" max="27" width="11.33203125" customWidth="1"/>
    <col min="28" max="28" width="14.5" customWidth="1"/>
    <col min="29" max="29" width="11.1640625" customWidth="1"/>
    <col min="30" max="30" width="16.83203125" bestFit="1" customWidth="1"/>
    <col min="31" max="267" width="11.1640625" customWidth="1"/>
  </cols>
  <sheetData>
    <row r="3" spans="2:30" ht="18" customHeight="1">
      <c r="B3" s="1"/>
      <c r="C3" s="2">
        <v>2003</v>
      </c>
      <c r="D3" s="2">
        <v>2004</v>
      </c>
      <c r="E3" s="2">
        <v>2005</v>
      </c>
      <c r="F3" s="2">
        <v>2006</v>
      </c>
      <c r="G3" s="2">
        <v>2007</v>
      </c>
      <c r="H3" s="2">
        <v>2008</v>
      </c>
      <c r="I3" s="2">
        <v>2009</v>
      </c>
      <c r="J3" s="2">
        <v>2010</v>
      </c>
      <c r="K3" s="2">
        <v>2011</v>
      </c>
      <c r="L3" s="2">
        <v>2012</v>
      </c>
      <c r="M3" s="2">
        <v>2013</v>
      </c>
      <c r="N3" s="2">
        <v>2014</v>
      </c>
      <c r="O3" s="2">
        <v>2015</v>
      </c>
      <c r="P3" s="2">
        <v>2016</v>
      </c>
      <c r="Q3" s="2">
        <v>2017</v>
      </c>
      <c r="R3" s="2">
        <v>2018</v>
      </c>
      <c r="S3" s="2">
        <v>2019</v>
      </c>
      <c r="T3" s="2">
        <v>2020</v>
      </c>
      <c r="U3" s="2">
        <v>2021</v>
      </c>
      <c r="V3" s="2">
        <v>2022</v>
      </c>
      <c r="W3" s="2">
        <v>2023</v>
      </c>
      <c r="X3" s="2">
        <v>2024</v>
      </c>
      <c r="Y3" s="2">
        <v>2025</v>
      </c>
      <c r="Z3" s="2">
        <v>2026</v>
      </c>
      <c r="AA3" s="2">
        <v>2027</v>
      </c>
      <c r="AB3" s="3" t="s">
        <v>0</v>
      </c>
      <c r="AC3" s="4" t="s">
        <v>1</v>
      </c>
    </row>
    <row r="4" spans="2:30" ht="6" customHeight="1"/>
    <row r="5" spans="2:30" ht="13" customHeight="1">
      <c r="B5" s="5" t="s">
        <v>2</v>
      </c>
      <c r="C5" s="6">
        <v>17490</v>
      </c>
      <c r="D5" s="6">
        <v>22055</v>
      </c>
      <c r="E5" s="6">
        <v>15700</v>
      </c>
      <c r="F5" s="6">
        <v>20050</v>
      </c>
      <c r="G5" s="6">
        <v>24000</v>
      </c>
      <c r="H5" s="6">
        <v>24600</v>
      </c>
      <c r="I5" s="6">
        <v>36125</v>
      </c>
      <c r="J5" s="7">
        <v>40330</v>
      </c>
      <c r="K5" s="6">
        <v>16970</v>
      </c>
      <c r="L5" s="6">
        <v>20615</v>
      </c>
      <c r="M5" s="6">
        <v>23960</v>
      </c>
      <c r="N5" s="6">
        <v>26425</v>
      </c>
      <c r="O5" s="6">
        <v>29035</v>
      </c>
      <c r="P5" s="6">
        <v>23000</v>
      </c>
      <c r="Q5" s="6">
        <v>31130</v>
      </c>
      <c r="R5" s="6">
        <v>31500</v>
      </c>
      <c r="S5" s="6">
        <v>31575</v>
      </c>
      <c r="T5" s="6">
        <v>32245</v>
      </c>
      <c r="U5" s="6">
        <v>35815</v>
      </c>
      <c r="V5" s="6">
        <v>36755</v>
      </c>
      <c r="W5" s="6">
        <v>37980</v>
      </c>
      <c r="X5" s="6">
        <v>44150</v>
      </c>
      <c r="Y5" s="6">
        <v>46200</v>
      </c>
      <c r="Z5" s="6"/>
      <c r="AA5" s="6"/>
      <c r="AB5" s="8">
        <f t="shared" ref="AB5:AB13" si="0">SUM(C5:Y5)</f>
        <v>667705</v>
      </c>
      <c r="AC5" s="9">
        <f t="shared" ref="AC5:AC13" si="1">AVERAGE(C5:X5)</f>
        <v>28250.227272727272</v>
      </c>
      <c r="AD5" t="s">
        <v>2</v>
      </c>
    </row>
    <row r="6" spans="2:30" ht="13" customHeight="1">
      <c r="B6" s="5" t="s">
        <v>3</v>
      </c>
      <c r="C6" s="6">
        <v>4750</v>
      </c>
      <c r="D6" s="6">
        <v>7600</v>
      </c>
      <c r="E6" s="6">
        <v>11175</v>
      </c>
      <c r="F6" s="6">
        <v>1800</v>
      </c>
      <c r="G6" s="6">
        <v>2575</v>
      </c>
      <c r="H6" s="6">
        <v>2100</v>
      </c>
      <c r="I6" s="6">
        <v>20825</v>
      </c>
      <c r="J6" s="6">
        <v>0</v>
      </c>
      <c r="K6" s="6">
        <v>2750</v>
      </c>
      <c r="L6" s="6">
        <v>3510</v>
      </c>
      <c r="M6" s="6">
        <v>1825</v>
      </c>
      <c r="N6" s="6">
        <v>0</v>
      </c>
      <c r="O6" s="6">
        <v>0</v>
      </c>
      <c r="P6" s="6">
        <v>8000</v>
      </c>
      <c r="Q6" s="6">
        <v>0</v>
      </c>
      <c r="R6" s="6">
        <v>250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/>
      <c r="AA6" s="6"/>
      <c r="AB6" s="8">
        <f t="shared" si="0"/>
        <v>67160</v>
      </c>
      <c r="AC6" s="9">
        <f t="shared" si="1"/>
        <v>3052.7272727272725</v>
      </c>
      <c r="AD6" t="s">
        <v>3</v>
      </c>
    </row>
    <row r="7" spans="2:30" ht="13" customHeight="1">
      <c r="B7" s="10" t="s">
        <v>4</v>
      </c>
      <c r="C7" s="6">
        <v>2500</v>
      </c>
      <c r="D7" s="6">
        <v>0</v>
      </c>
      <c r="E7" s="6">
        <v>0</v>
      </c>
      <c r="F7" s="6">
        <v>13000</v>
      </c>
      <c r="G7" s="6">
        <v>0</v>
      </c>
      <c r="H7" s="6">
        <v>0</v>
      </c>
      <c r="I7" s="6">
        <v>0</v>
      </c>
      <c r="J7" s="6">
        <v>750</v>
      </c>
      <c r="K7" s="6">
        <v>0</v>
      </c>
      <c r="L7" s="6">
        <v>720</v>
      </c>
      <c r="M7" s="6">
        <v>90</v>
      </c>
      <c r="N7" s="6">
        <v>1440</v>
      </c>
      <c r="O7" s="6">
        <v>0</v>
      </c>
      <c r="P7" s="6">
        <v>625</v>
      </c>
      <c r="Q7" s="6">
        <v>135</v>
      </c>
      <c r="R7" s="6">
        <v>0</v>
      </c>
      <c r="S7" s="6">
        <v>0</v>
      </c>
      <c r="T7" s="6">
        <v>0</v>
      </c>
      <c r="U7" s="6">
        <v>0</v>
      </c>
      <c r="V7" s="6">
        <v>575</v>
      </c>
      <c r="W7" s="6">
        <v>0</v>
      </c>
      <c r="X7" s="6">
        <v>0</v>
      </c>
      <c r="Y7" s="6">
        <v>0</v>
      </c>
      <c r="Z7" s="6"/>
      <c r="AA7" s="6"/>
      <c r="AB7" s="8">
        <f t="shared" si="0"/>
        <v>19835</v>
      </c>
      <c r="AC7" s="9">
        <f t="shared" si="1"/>
        <v>901.59090909090912</v>
      </c>
      <c r="AD7" t="s">
        <v>4</v>
      </c>
    </row>
    <row r="8" spans="2:30" ht="13" customHeight="1">
      <c r="B8" s="5" t="s">
        <v>5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/>
      <c r="AA8" s="6"/>
      <c r="AB8" s="8">
        <f t="shared" si="0"/>
        <v>0</v>
      </c>
      <c r="AC8" s="9">
        <f t="shared" si="1"/>
        <v>0</v>
      </c>
      <c r="AD8" t="s">
        <v>5</v>
      </c>
    </row>
    <row r="9" spans="2:30" ht="13" customHeight="1">
      <c r="B9" s="5" t="s">
        <v>6</v>
      </c>
      <c r="C9" s="6">
        <v>0</v>
      </c>
      <c r="D9" s="6">
        <v>0</v>
      </c>
      <c r="E9" s="6">
        <v>12000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/>
      <c r="AA9" s="6"/>
      <c r="AB9" s="8">
        <f t="shared" si="0"/>
        <v>12000</v>
      </c>
      <c r="AC9" s="9">
        <f t="shared" si="1"/>
        <v>545.4545454545455</v>
      </c>
      <c r="AD9" t="s">
        <v>6</v>
      </c>
    </row>
    <row r="10" spans="2:30" ht="13" customHeight="1">
      <c r="B10" s="5" t="s">
        <v>7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/>
      <c r="AA10" s="6"/>
      <c r="AB10" s="8">
        <f t="shared" si="0"/>
        <v>0</v>
      </c>
      <c r="AC10" s="9">
        <f t="shared" si="1"/>
        <v>0</v>
      </c>
      <c r="AD10" t="s">
        <v>7</v>
      </c>
    </row>
    <row r="11" spans="2:30" ht="13" customHeight="1">
      <c r="B11" s="5" t="s">
        <v>8</v>
      </c>
      <c r="C11" s="6">
        <v>355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/>
      <c r="AA11" s="6"/>
      <c r="AB11" s="8">
        <f t="shared" si="0"/>
        <v>355</v>
      </c>
      <c r="AC11" s="9">
        <f t="shared" si="1"/>
        <v>16.136363636363637</v>
      </c>
      <c r="AD11" t="s">
        <v>8</v>
      </c>
    </row>
    <row r="12" spans="2:30" ht="13" customHeight="1">
      <c r="B12" s="5" t="s">
        <v>9</v>
      </c>
      <c r="C12" s="6">
        <v>500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902">
        <v>0</v>
      </c>
      <c r="U12" s="902">
        <v>0</v>
      </c>
      <c r="V12" s="6">
        <v>0</v>
      </c>
      <c r="W12" s="6">
        <v>0</v>
      </c>
      <c r="X12" s="6">
        <v>0</v>
      </c>
      <c r="Y12" s="6">
        <v>0</v>
      </c>
      <c r="Z12" s="6"/>
      <c r="AA12" s="6"/>
      <c r="AB12" s="8">
        <f t="shared" si="0"/>
        <v>500</v>
      </c>
      <c r="AC12" s="9">
        <f t="shared" si="1"/>
        <v>22.727272727272727</v>
      </c>
      <c r="AD12" t="s">
        <v>9</v>
      </c>
    </row>
    <row r="13" spans="2:30" ht="16" customHeight="1">
      <c r="B13" s="11" t="s">
        <v>10</v>
      </c>
      <c r="C13" s="12">
        <f t="shared" ref="C13:Y13" si="2">SUM(C5:C12)</f>
        <v>25595</v>
      </c>
      <c r="D13" s="12">
        <f t="shared" si="2"/>
        <v>29655</v>
      </c>
      <c r="E13" s="12">
        <f t="shared" si="2"/>
        <v>38875</v>
      </c>
      <c r="F13" s="12">
        <f t="shared" si="2"/>
        <v>34850</v>
      </c>
      <c r="G13" s="12">
        <f t="shared" si="2"/>
        <v>26575</v>
      </c>
      <c r="H13" s="12">
        <f t="shared" si="2"/>
        <v>26700</v>
      </c>
      <c r="I13" s="13">
        <f t="shared" si="2"/>
        <v>56950</v>
      </c>
      <c r="J13" s="12">
        <f t="shared" si="2"/>
        <v>41080</v>
      </c>
      <c r="K13" s="12">
        <f t="shared" si="2"/>
        <v>19720</v>
      </c>
      <c r="L13" s="12">
        <f t="shared" si="2"/>
        <v>24845</v>
      </c>
      <c r="M13" s="12">
        <f t="shared" si="2"/>
        <v>25875</v>
      </c>
      <c r="N13" s="12">
        <f t="shared" si="2"/>
        <v>27865</v>
      </c>
      <c r="O13" s="12">
        <f t="shared" si="2"/>
        <v>29035</v>
      </c>
      <c r="P13" s="12">
        <f t="shared" si="2"/>
        <v>31625</v>
      </c>
      <c r="Q13" s="12">
        <f t="shared" si="2"/>
        <v>31265</v>
      </c>
      <c r="R13" s="12">
        <f t="shared" si="2"/>
        <v>31750</v>
      </c>
      <c r="S13" s="12">
        <f t="shared" si="2"/>
        <v>31575</v>
      </c>
      <c r="T13" s="12">
        <f t="shared" si="2"/>
        <v>32245</v>
      </c>
      <c r="U13" s="12">
        <f t="shared" si="2"/>
        <v>35815</v>
      </c>
      <c r="V13" s="12">
        <f t="shared" si="2"/>
        <v>37330</v>
      </c>
      <c r="W13" s="12">
        <f t="shared" si="2"/>
        <v>37980</v>
      </c>
      <c r="X13" s="12">
        <f t="shared" si="2"/>
        <v>44150</v>
      </c>
      <c r="Y13" s="12">
        <f t="shared" si="2"/>
        <v>46200</v>
      </c>
      <c r="Z13" s="12"/>
      <c r="AA13" s="12"/>
      <c r="AB13" s="14">
        <f t="shared" si="0"/>
        <v>767555</v>
      </c>
      <c r="AC13" s="9">
        <f t="shared" si="1"/>
        <v>32788.86363636364</v>
      </c>
      <c r="AD13" s="15" t="s">
        <v>11</v>
      </c>
    </row>
    <row r="14" spans="2:30" ht="6.75" customHeight="1">
      <c r="B14" s="317"/>
    </row>
    <row r="15" spans="2:30" ht="18" customHeight="1">
      <c r="B15" s="818" t="s">
        <v>12</v>
      </c>
      <c r="C15" s="16">
        <v>5605</v>
      </c>
      <c r="D15" s="16">
        <v>5460</v>
      </c>
      <c r="E15" s="16">
        <v>5460</v>
      </c>
      <c r="F15" s="16">
        <v>5460</v>
      </c>
      <c r="G15" s="16">
        <v>5460</v>
      </c>
      <c r="H15" s="16">
        <v>7380</v>
      </c>
      <c r="I15" s="7">
        <v>18650</v>
      </c>
      <c r="J15" s="16">
        <v>0</v>
      </c>
      <c r="K15" s="17">
        <v>0</v>
      </c>
      <c r="L15" s="16">
        <v>0</v>
      </c>
      <c r="M15" s="16">
        <v>9300</v>
      </c>
      <c r="N15" s="17">
        <v>0</v>
      </c>
      <c r="O15" s="16">
        <v>0</v>
      </c>
      <c r="P15" s="265">
        <v>10600</v>
      </c>
      <c r="Q15" s="16">
        <v>0</v>
      </c>
      <c r="R15" s="16">
        <v>0</v>
      </c>
      <c r="S15" s="16">
        <v>3450</v>
      </c>
      <c r="T15" s="16">
        <v>2175</v>
      </c>
      <c r="U15" s="16">
        <v>2500</v>
      </c>
      <c r="V15" s="16">
        <v>400</v>
      </c>
      <c r="W15" s="265">
        <v>11650</v>
      </c>
      <c r="X15" s="18">
        <v>2735</v>
      </c>
      <c r="Y15" s="18">
        <v>4160</v>
      </c>
      <c r="Z15" s="18"/>
      <c r="AA15" s="18"/>
      <c r="AB15" s="16">
        <f t="shared" ref="AB15:AB24" si="3">SUM(C15:Y15)</f>
        <v>100445</v>
      </c>
      <c r="AC15" s="9">
        <f t="shared" ref="AC15:AC24" si="4">AVERAGE(C15:Y15)</f>
        <v>4367.173913043478</v>
      </c>
    </row>
    <row r="16" spans="2:30" ht="13" customHeight="1">
      <c r="B16" s="19" t="s">
        <v>13</v>
      </c>
      <c r="C16" s="20">
        <v>325</v>
      </c>
      <c r="D16" s="20">
        <v>445</v>
      </c>
      <c r="E16" s="21">
        <v>320</v>
      </c>
      <c r="F16" s="20">
        <v>395</v>
      </c>
      <c r="G16" s="20">
        <v>400</v>
      </c>
      <c r="H16" s="20">
        <v>615</v>
      </c>
      <c r="I16" s="22">
        <v>610</v>
      </c>
      <c r="J16" s="20">
        <v>545</v>
      </c>
      <c r="K16" s="20">
        <v>620</v>
      </c>
      <c r="L16" s="20">
        <v>655</v>
      </c>
      <c r="M16" s="20">
        <v>595</v>
      </c>
      <c r="N16" s="23">
        <v>865</v>
      </c>
      <c r="O16" s="20">
        <v>330</v>
      </c>
      <c r="P16" s="22">
        <v>375</v>
      </c>
      <c r="Q16" s="20">
        <v>320</v>
      </c>
      <c r="R16" s="20">
        <v>295</v>
      </c>
      <c r="S16" s="20">
        <v>320</v>
      </c>
      <c r="T16" s="20">
        <v>300</v>
      </c>
      <c r="U16" s="20">
        <v>115</v>
      </c>
      <c r="V16" s="20">
        <v>260</v>
      </c>
      <c r="W16" s="20">
        <v>330</v>
      </c>
      <c r="X16" s="20">
        <v>610</v>
      </c>
      <c r="Y16" s="991">
        <v>580</v>
      </c>
      <c r="Z16" s="991"/>
      <c r="AA16" s="991"/>
      <c r="AB16" s="24">
        <f t="shared" si="3"/>
        <v>10225</v>
      </c>
      <c r="AC16" s="9">
        <f t="shared" si="4"/>
        <v>444.56521739130437</v>
      </c>
    </row>
    <row r="17" spans="2:30" ht="15" customHeight="1" thickTop="1" thickBot="1">
      <c r="B17" s="19" t="s">
        <v>14</v>
      </c>
      <c r="C17" s="21">
        <v>720</v>
      </c>
      <c r="D17" s="20">
        <v>760</v>
      </c>
      <c r="E17" s="23">
        <v>1200</v>
      </c>
      <c r="F17" s="20">
        <v>850</v>
      </c>
      <c r="G17" s="20">
        <v>350</v>
      </c>
      <c r="H17" s="20">
        <v>0</v>
      </c>
      <c r="I17" s="20">
        <v>0</v>
      </c>
      <c r="J17" s="20">
        <v>0</v>
      </c>
      <c r="K17" s="22">
        <v>0</v>
      </c>
      <c r="L17" s="20">
        <v>0</v>
      </c>
      <c r="M17" s="20">
        <v>0</v>
      </c>
      <c r="N17" s="22">
        <v>0</v>
      </c>
      <c r="O17" s="20">
        <v>600</v>
      </c>
      <c r="P17" s="20">
        <v>650</v>
      </c>
      <c r="Q17" s="20">
        <v>400</v>
      </c>
      <c r="R17" s="20">
        <v>335</v>
      </c>
      <c r="S17" s="20">
        <v>320</v>
      </c>
      <c r="T17" s="20">
        <v>1110</v>
      </c>
      <c r="U17" s="20">
        <v>120</v>
      </c>
      <c r="V17" s="21">
        <v>0</v>
      </c>
      <c r="W17" s="20">
        <v>0</v>
      </c>
      <c r="X17" s="20">
        <v>3048</v>
      </c>
      <c r="Y17" s="993">
        <v>7290</v>
      </c>
      <c r="Z17" s="993"/>
      <c r="AA17" s="993"/>
      <c r="AB17" s="24">
        <f t="shared" si="3"/>
        <v>17753</v>
      </c>
      <c r="AC17" s="9">
        <f t="shared" si="4"/>
        <v>771.86956521739125</v>
      </c>
    </row>
    <row r="18" spans="2:30" ht="15" customHeight="1" thickTop="1" thickBot="1">
      <c r="B18" s="19" t="s">
        <v>15</v>
      </c>
      <c r="C18" s="20">
        <v>1500</v>
      </c>
      <c r="D18" s="20">
        <v>100</v>
      </c>
      <c r="E18" s="22">
        <v>1200</v>
      </c>
      <c r="F18" s="20">
        <v>0</v>
      </c>
      <c r="G18" s="20">
        <v>60</v>
      </c>
      <c r="H18" s="20">
        <v>0</v>
      </c>
      <c r="I18" s="20">
        <v>0</v>
      </c>
      <c r="J18" s="21">
        <v>460</v>
      </c>
      <c r="K18" s="20">
        <v>470</v>
      </c>
      <c r="L18" s="20">
        <v>170</v>
      </c>
      <c r="M18" s="20">
        <v>180</v>
      </c>
      <c r="N18" s="20">
        <v>160</v>
      </c>
      <c r="O18" s="20">
        <v>160</v>
      </c>
      <c r="P18" s="20">
        <v>50</v>
      </c>
      <c r="Q18" s="20">
        <v>710</v>
      </c>
      <c r="R18" s="20">
        <v>2000</v>
      </c>
      <c r="S18" s="9">
        <v>0</v>
      </c>
      <c r="T18" s="9">
        <v>0</v>
      </c>
      <c r="U18" s="20">
        <v>0</v>
      </c>
      <c r="V18" s="864">
        <v>7300</v>
      </c>
      <c r="W18" s="9">
        <v>6945</v>
      </c>
      <c r="X18" s="21">
        <v>2950</v>
      </c>
      <c r="Y18" s="992">
        <v>1300</v>
      </c>
      <c r="Z18" s="992"/>
      <c r="AA18" s="992"/>
      <c r="AB18" s="24">
        <f t="shared" si="3"/>
        <v>25715</v>
      </c>
      <c r="AC18" s="9">
        <f t="shared" si="4"/>
        <v>1118.0434782608695</v>
      </c>
    </row>
    <row r="19" spans="2:30" ht="20" customHeight="1" thickTop="1" thickBot="1">
      <c r="B19" s="817" t="s">
        <v>16</v>
      </c>
      <c r="C19" s="26">
        <v>605</v>
      </c>
      <c r="D19" s="27">
        <v>615</v>
      </c>
      <c r="E19" s="27">
        <v>1810</v>
      </c>
      <c r="F19" s="27">
        <v>2370</v>
      </c>
      <c r="G19" s="27">
        <v>2155</v>
      </c>
      <c r="H19" s="27">
        <v>2255</v>
      </c>
      <c r="I19" s="27">
        <v>2390</v>
      </c>
      <c r="J19" s="27">
        <v>3360</v>
      </c>
      <c r="K19" s="27">
        <v>2700</v>
      </c>
      <c r="L19" s="28">
        <v>1665</v>
      </c>
      <c r="M19" s="27">
        <v>1080</v>
      </c>
      <c r="N19" s="28">
        <v>1305</v>
      </c>
      <c r="O19" s="27">
        <v>1425</v>
      </c>
      <c r="P19" s="27">
        <v>1815</v>
      </c>
      <c r="Q19" s="27">
        <v>2470</v>
      </c>
      <c r="R19" s="27">
        <v>1770</v>
      </c>
      <c r="S19" s="27">
        <v>2150</v>
      </c>
      <c r="T19" s="27">
        <v>2925</v>
      </c>
      <c r="U19" s="27">
        <v>3655</v>
      </c>
      <c r="V19" s="26">
        <v>3840</v>
      </c>
      <c r="W19" s="26">
        <v>4550</v>
      </c>
      <c r="X19" s="302">
        <v>5475</v>
      </c>
      <c r="Y19" s="7">
        <v>6395</v>
      </c>
      <c r="Z19" s="6"/>
      <c r="AA19" s="6"/>
      <c r="AB19" s="6">
        <f t="shared" si="3"/>
        <v>58780</v>
      </c>
      <c r="AC19" s="9">
        <f t="shared" si="4"/>
        <v>2555.6521739130435</v>
      </c>
    </row>
    <row r="20" spans="2:30" ht="15" customHeight="1" thickTop="1" thickBot="1">
      <c r="B20" s="19" t="s">
        <v>17</v>
      </c>
      <c r="C20" s="20">
        <v>149</v>
      </c>
      <c r="D20" s="20">
        <v>264</v>
      </c>
      <c r="E20" s="20">
        <v>335</v>
      </c>
      <c r="F20" s="20">
        <v>415</v>
      </c>
      <c r="G20" s="20">
        <v>345</v>
      </c>
      <c r="H20" s="20">
        <v>415</v>
      </c>
      <c r="I20" s="20">
        <v>400</v>
      </c>
      <c r="J20" s="9">
        <v>425</v>
      </c>
      <c r="K20" s="20">
        <v>425</v>
      </c>
      <c r="L20" s="20">
        <v>560</v>
      </c>
      <c r="M20" s="20">
        <v>470</v>
      </c>
      <c r="N20" s="20">
        <v>770</v>
      </c>
      <c r="O20" s="20">
        <v>415</v>
      </c>
      <c r="P20" s="20">
        <v>550</v>
      </c>
      <c r="Q20" s="20">
        <v>825</v>
      </c>
      <c r="R20" s="23">
        <v>1025</v>
      </c>
      <c r="S20" s="9">
        <v>725</v>
      </c>
      <c r="T20" s="9">
        <v>580</v>
      </c>
      <c r="U20" s="20">
        <v>600</v>
      </c>
      <c r="V20" s="20">
        <v>800</v>
      </c>
      <c r="W20" s="20">
        <v>670</v>
      </c>
      <c r="X20" s="22">
        <v>730</v>
      </c>
      <c r="Y20" s="991">
        <v>805</v>
      </c>
      <c r="Z20" s="991"/>
      <c r="AA20" s="991"/>
      <c r="AB20" s="24">
        <f t="shared" si="3"/>
        <v>12698</v>
      </c>
      <c r="AC20" s="9">
        <f t="shared" si="4"/>
        <v>552.08695652173913</v>
      </c>
    </row>
    <row r="21" spans="2:30" ht="15" customHeight="1" thickTop="1" thickBot="1">
      <c r="B21" s="19" t="s">
        <v>18</v>
      </c>
      <c r="C21" s="20">
        <v>160</v>
      </c>
      <c r="D21" s="20">
        <v>705</v>
      </c>
      <c r="E21" s="20">
        <v>835</v>
      </c>
      <c r="F21" s="21">
        <v>870</v>
      </c>
      <c r="G21" s="21">
        <v>1215</v>
      </c>
      <c r="H21" s="20">
        <v>935</v>
      </c>
      <c r="I21" s="20">
        <v>1360</v>
      </c>
      <c r="J21" s="9">
        <v>2150</v>
      </c>
      <c r="K21" s="20">
        <v>2130</v>
      </c>
      <c r="L21" s="22">
        <v>1740</v>
      </c>
      <c r="M21" s="20">
        <v>1510</v>
      </c>
      <c r="N21" s="22">
        <v>2115</v>
      </c>
      <c r="O21" s="20">
        <v>1955</v>
      </c>
      <c r="P21" s="20">
        <v>1775</v>
      </c>
      <c r="Q21" s="20">
        <v>1665</v>
      </c>
      <c r="R21" s="20">
        <v>1755</v>
      </c>
      <c r="S21" s="20">
        <v>1725</v>
      </c>
      <c r="T21" s="20">
        <v>1770</v>
      </c>
      <c r="U21" s="20">
        <v>1765</v>
      </c>
      <c r="V21" s="20">
        <v>1615</v>
      </c>
      <c r="W21" s="20">
        <v>1560</v>
      </c>
      <c r="X21" s="20">
        <v>1715</v>
      </c>
      <c r="Y21" s="23">
        <v>2885</v>
      </c>
      <c r="Z21" s="992"/>
      <c r="AA21" s="992"/>
      <c r="AB21" s="24">
        <f t="shared" si="3"/>
        <v>35910</v>
      </c>
      <c r="AC21" s="9">
        <f t="shared" si="4"/>
        <v>1561.304347826087</v>
      </c>
    </row>
    <row r="22" spans="2:30" ht="15" customHeight="1" thickTop="1" thickBot="1">
      <c r="B22" s="25" t="s">
        <v>19</v>
      </c>
      <c r="C22" s="27">
        <v>780</v>
      </c>
      <c r="D22" s="27">
        <v>1725</v>
      </c>
      <c r="E22" s="27">
        <v>2110</v>
      </c>
      <c r="F22" s="29">
        <v>2685</v>
      </c>
      <c r="G22" s="27">
        <v>2550</v>
      </c>
      <c r="H22" s="27">
        <v>1390</v>
      </c>
      <c r="I22" s="27">
        <v>1625</v>
      </c>
      <c r="J22" s="26">
        <v>1890</v>
      </c>
      <c r="K22" s="27">
        <v>1410</v>
      </c>
      <c r="L22" s="27">
        <v>180</v>
      </c>
      <c r="M22" s="28">
        <v>180</v>
      </c>
      <c r="N22" s="27">
        <v>480</v>
      </c>
      <c r="O22" s="27">
        <v>235</v>
      </c>
      <c r="P22" s="27">
        <v>700</v>
      </c>
      <c r="Q22" s="27">
        <v>1015</v>
      </c>
      <c r="R22" s="27">
        <v>1135</v>
      </c>
      <c r="S22" s="27">
        <v>900</v>
      </c>
      <c r="T22" s="27">
        <v>180</v>
      </c>
      <c r="U22" s="27">
        <v>210</v>
      </c>
      <c r="V22" s="27">
        <v>625</v>
      </c>
      <c r="W22" s="27">
        <v>255</v>
      </c>
      <c r="X22" s="27">
        <v>350</v>
      </c>
      <c r="Y22" s="6">
        <v>120</v>
      </c>
      <c r="Z22" s="6"/>
      <c r="AA22" s="6"/>
      <c r="AB22" s="6">
        <f t="shared" si="3"/>
        <v>22730</v>
      </c>
      <c r="AC22" s="9">
        <f t="shared" si="4"/>
        <v>988.26086956521738</v>
      </c>
    </row>
    <row r="23" spans="2:30" ht="13" customHeight="1">
      <c r="B23" s="19" t="s">
        <v>20</v>
      </c>
      <c r="C23" s="20">
        <v>900</v>
      </c>
      <c r="D23" s="23">
        <v>900</v>
      </c>
      <c r="E23" s="20">
        <v>850</v>
      </c>
      <c r="F23" s="22">
        <v>725</v>
      </c>
      <c r="G23" s="22">
        <v>0</v>
      </c>
      <c r="H23" s="20">
        <v>0</v>
      </c>
      <c r="I23" s="20">
        <v>365</v>
      </c>
      <c r="J23" s="20">
        <v>690</v>
      </c>
      <c r="K23" s="21">
        <v>755</v>
      </c>
      <c r="L23" s="20">
        <v>755</v>
      </c>
      <c r="M23" s="20">
        <v>805</v>
      </c>
      <c r="N23" s="20">
        <v>800</v>
      </c>
      <c r="O23" s="20">
        <v>775</v>
      </c>
      <c r="P23" s="20">
        <v>850</v>
      </c>
      <c r="Q23" s="20">
        <v>870</v>
      </c>
      <c r="R23" s="20">
        <v>890</v>
      </c>
      <c r="S23" s="20">
        <v>395</v>
      </c>
      <c r="T23" s="20">
        <v>385</v>
      </c>
      <c r="U23" s="20">
        <v>355</v>
      </c>
      <c r="V23" s="20">
        <v>385</v>
      </c>
      <c r="W23" s="20">
        <v>430</v>
      </c>
      <c r="X23" s="20">
        <v>880</v>
      </c>
      <c r="Y23" s="991">
        <v>930</v>
      </c>
      <c r="Z23" s="991"/>
      <c r="AA23" s="991"/>
      <c r="AB23" s="24">
        <f t="shared" si="3"/>
        <v>14690</v>
      </c>
      <c r="AC23" s="9">
        <f t="shared" si="4"/>
        <v>638.695652173913</v>
      </c>
    </row>
    <row r="24" spans="2:30" ht="13" customHeight="1">
      <c r="B24" s="30" t="s">
        <v>21</v>
      </c>
      <c r="C24" s="20">
        <v>270</v>
      </c>
      <c r="D24" s="20">
        <v>0</v>
      </c>
      <c r="E24" s="20">
        <v>0</v>
      </c>
      <c r="F24" s="20">
        <v>0</v>
      </c>
      <c r="G24" s="20">
        <v>30</v>
      </c>
      <c r="H24" s="20">
        <v>30</v>
      </c>
      <c r="I24" s="20">
        <v>30</v>
      </c>
      <c r="J24" s="20">
        <v>100</v>
      </c>
      <c r="K24" s="23">
        <v>305</v>
      </c>
      <c r="L24" s="20">
        <v>140</v>
      </c>
      <c r="M24" s="22">
        <v>50</v>
      </c>
      <c r="N24" s="20">
        <v>50</v>
      </c>
      <c r="O24" s="20">
        <v>50</v>
      </c>
      <c r="P24" s="20">
        <v>50</v>
      </c>
      <c r="Q24" s="20">
        <v>120</v>
      </c>
      <c r="R24" s="20">
        <v>150</v>
      </c>
      <c r="S24" s="20">
        <v>215</v>
      </c>
      <c r="T24" s="20">
        <v>180</v>
      </c>
      <c r="U24" s="20">
        <v>220</v>
      </c>
      <c r="V24" s="20">
        <v>100</v>
      </c>
      <c r="W24" s="20">
        <v>100</v>
      </c>
      <c r="X24" s="20">
        <v>100</v>
      </c>
      <c r="Y24" s="993">
        <v>620</v>
      </c>
      <c r="Z24" s="993"/>
      <c r="AA24" s="993"/>
      <c r="AB24" s="24">
        <f t="shared" si="3"/>
        <v>2910</v>
      </c>
      <c r="AC24" s="9">
        <f t="shared" si="4"/>
        <v>126.52173913043478</v>
      </c>
      <c r="AD24" t="s">
        <v>22</v>
      </c>
    </row>
    <row r="25" spans="2:30" ht="13.5" customHeight="1" thickTop="1" thickBot="1">
      <c r="B25" s="19"/>
      <c r="C25" s="20"/>
      <c r="D25" s="31"/>
      <c r="E25" s="31"/>
      <c r="F25" s="31"/>
      <c r="G25" s="31"/>
      <c r="H25" s="31"/>
      <c r="I25" s="31"/>
      <c r="J25" s="31"/>
      <c r="K25" s="32"/>
      <c r="L25" s="33"/>
      <c r="M25" s="31"/>
      <c r="N25" s="31"/>
      <c r="O25" s="31"/>
      <c r="P25" s="31"/>
      <c r="Q25" s="31"/>
      <c r="R25" s="31"/>
      <c r="S25" s="31"/>
      <c r="T25" s="31"/>
      <c r="U25" s="31"/>
      <c r="V25" s="31"/>
      <c r="Y25" s="995"/>
      <c r="Z25" s="995"/>
      <c r="AA25" s="995"/>
      <c r="AB25" s="34"/>
      <c r="AC25" s="9"/>
    </row>
    <row r="26" spans="2:30" ht="20" customHeight="1" thickTop="1" thickBot="1">
      <c r="B26" s="817" t="s">
        <v>23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8210</v>
      </c>
      <c r="I26" s="27">
        <v>7315</v>
      </c>
      <c r="J26" s="27">
        <v>8470</v>
      </c>
      <c r="K26" s="27">
        <v>8570</v>
      </c>
      <c r="L26" s="302">
        <v>10910</v>
      </c>
      <c r="M26" s="28">
        <v>8640</v>
      </c>
      <c r="N26" s="27">
        <v>9585</v>
      </c>
      <c r="O26" s="27">
        <v>8880</v>
      </c>
      <c r="P26" s="27">
        <v>8880</v>
      </c>
      <c r="Q26" s="27">
        <v>9120</v>
      </c>
      <c r="R26" s="27">
        <v>9550</v>
      </c>
      <c r="S26" s="27">
        <v>9840</v>
      </c>
      <c r="T26" s="27">
        <v>9675</v>
      </c>
      <c r="U26" s="27">
        <v>9840</v>
      </c>
      <c r="V26" s="27">
        <v>9940</v>
      </c>
      <c r="W26" s="6">
        <v>10440</v>
      </c>
      <c r="X26" s="6">
        <v>10740</v>
      </c>
      <c r="Y26" s="7">
        <v>11035</v>
      </c>
      <c r="Z26" s="6"/>
      <c r="AA26" s="6"/>
      <c r="AB26" s="6">
        <f t="shared" ref="AB26:AB39" si="5">SUM(C26:Y26)</f>
        <v>169640</v>
      </c>
      <c r="AC26" s="9">
        <f t="shared" ref="AC26:AC49" si="6">AVERAGE(C26:Y26)</f>
        <v>7375.652173913043</v>
      </c>
    </row>
    <row r="27" spans="2:30" ht="15" customHeight="1" thickTop="1" thickBot="1">
      <c r="B27" s="19" t="s">
        <v>24</v>
      </c>
      <c r="C27" s="20">
        <v>30</v>
      </c>
      <c r="D27" s="20">
        <v>40</v>
      </c>
      <c r="E27" s="20">
        <v>120</v>
      </c>
      <c r="F27" s="20">
        <v>50</v>
      </c>
      <c r="G27" s="20">
        <v>60</v>
      </c>
      <c r="H27" s="20">
        <v>360</v>
      </c>
      <c r="I27" s="20">
        <v>380</v>
      </c>
      <c r="J27" s="20">
        <v>45</v>
      </c>
      <c r="K27" s="20">
        <v>140</v>
      </c>
      <c r="L27" s="22">
        <v>225</v>
      </c>
      <c r="M27" s="9">
        <v>625</v>
      </c>
      <c r="N27" s="20">
        <v>135</v>
      </c>
      <c r="O27" s="20">
        <v>480</v>
      </c>
      <c r="P27" s="20">
        <v>100</v>
      </c>
      <c r="Q27" s="20">
        <v>135</v>
      </c>
      <c r="R27" s="20">
        <v>165</v>
      </c>
      <c r="S27" s="20">
        <v>125</v>
      </c>
      <c r="T27" s="20">
        <v>750</v>
      </c>
      <c r="U27" s="20">
        <v>170</v>
      </c>
      <c r="V27" s="20">
        <v>150</v>
      </c>
      <c r="W27" s="991">
        <v>215</v>
      </c>
      <c r="X27" s="23">
        <v>5785</v>
      </c>
      <c r="Y27" s="991">
        <v>1155</v>
      </c>
      <c r="Z27" s="991"/>
      <c r="AA27" s="991"/>
      <c r="AB27" s="24">
        <f t="shared" si="5"/>
        <v>11440</v>
      </c>
      <c r="AC27" s="9">
        <f t="shared" si="6"/>
        <v>497.39130434782606</v>
      </c>
    </row>
    <row r="28" spans="2:30" ht="14" customHeight="1" thickTop="1">
      <c r="B28" s="19" t="s">
        <v>25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2">
        <v>160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993">
        <v>0</v>
      </c>
      <c r="X28" s="993">
        <v>15</v>
      </c>
      <c r="Y28" s="993">
        <v>0</v>
      </c>
      <c r="Z28" s="993"/>
      <c r="AA28" s="993"/>
      <c r="AB28" s="24">
        <f t="shared" si="5"/>
        <v>175</v>
      </c>
      <c r="AC28" s="9">
        <f t="shared" si="6"/>
        <v>7.6086956521739131</v>
      </c>
    </row>
    <row r="29" spans="2:30" ht="13" customHeight="1">
      <c r="B29" s="19" t="s">
        <v>26</v>
      </c>
      <c r="C29" s="20">
        <v>65</v>
      </c>
      <c r="D29" s="20">
        <v>40</v>
      </c>
      <c r="E29" s="20">
        <v>25</v>
      </c>
      <c r="F29" s="20">
        <v>90</v>
      </c>
      <c r="G29" s="20">
        <v>45</v>
      </c>
      <c r="H29" s="21">
        <v>0</v>
      </c>
      <c r="I29" s="20">
        <v>55</v>
      </c>
      <c r="J29" s="20">
        <v>10</v>
      </c>
      <c r="K29" s="20">
        <v>5</v>
      </c>
      <c r="L29" s="20">
        <v>0</v>
      </c>
      <c r="M29" s="20">
        <v>90</v>
      </c>
      <c r="N29" s="20">
        <v>15</v>
      </c>
      <c r="O29" s="20">
        <v>35</v>
      </c>
      <c r="P29" s="20">
        <v>75</v>
      </c>
      <c r="Q29" s="20">
        <v>15</v>
      </c>
      <c r="R29" s="20">
        <v>15</v>
      </c>
      <c r="S29" s="20">
        <v>105</v>
      </c>
      <c r="T29" s="20">
        <v>60</v>
      </c>
      <c r="U29" s="20">
        <v>20</v>
      </c>
      <c r="V29" s="20">
        <v>5</v>
      </c>
      <c r="W29" s="993">
        <v>5</v>
      </c>
      <c r="X29" s="993">
        <v>10</v>
      </c>
      <c r="Y29" s="993">
        <v>5</v>
      </c>
      <c r="Z29" s="993"/>
      <c r="AA29" s="993"/>
      <c r="AB29" s="24">
        <f t="shared" si="5"/>
        <v>790</v>
      </c>
      <c r="AC29" s="9">
        <f t="shared" si="6"/>
        <v>34.347826086956523</v>
      </c>
    </row>
    <row r="30" spans="2:30" ht="13" customHeight="1">
      <c r="B30" s="19" t="s">
        <v>27</v>
      </c>
      <c r="C30" s="20">
        <v>2885</v>
      </c>
      <c r="D30" s="23">
        <v>4205</v>
      </c>
      <c r="E30" s="20">
        <v>830</v>
      </c>
      <c r="F30" s="20">
        <v>830</v>
      </c>
      <c r="G30" s="20">
        <v>550</v>
      </c>
      <c r="H30" s="20">
        <v>2860</v>
      </c>
      <c r="I30" s="20">
        <v>2170</v>
      </c>
      <c r="J30" s="21">
        <v>1125</v>
      </c>
      <c r="K30" s="20">
        <v>0</v>
      </c>
      <c r="L30" s="20">
        <v>0</v>
      </c>
      <c r="M30" s="20">
        <v>100</v>
      </c>
      <c r="N30" s="20">
        <v>350</v>
      </c>
      <c r="O30" s="20">
        <v>290</v>
      </c>
      <c r="P30" s="20">
        <v>325</v>
      </c>
      <c r="Q30" s="20">
        <v>65</v>
      </c>
      <c r="R30" s="20">
        <v>0</v>
      </c>
      <c r="S30" s="20">
        <v>70</v>
      </c>
      <c r="T30" s="20">
        <v>0</v>
      </c>
      <c r="U30" s="20">
        <v>10</v>
      </c>
      <c r="V30" s="20">
        <v>0</v>
      </c>
      <c r="W30" s="993">
        <v>0</v>
      </c>
      <c r="X30" s="993">
        <v>0</v>
      </c>
      <c r="Y30" s="993">
        <v>0</v>
      </c>
      <c r="Z30" s="993"/>
      <c r="AA30" s="993"/>
      <c r="AB30" s="35">
        <f t="shared" si="5"/>
        <v>16665</v>
      </c>
      <c r="AC30" s="9">
        <f t="shared" si="6"/>
        <v>724.56521739130437</v>
      </c>
      <c r="AD30" s="36" t="s">
        <v>28</v>
      </c>
    </row>
    <row r="31" spans="2:30" ht="15" customHeight="1" thickTop="1" thickBot="1">
      <c r="B31" s="37" t="s">
        <v>29</v>
      </c>
      <c r="C31" s="38">
        <v>550</v>
      </c>
      <c r="D31" s="38">
        <v>1365</v>
      </c>
      <c r="E31" s="38">
        <v>1730</v>
      </c>
      <c r="F31" s="38">
        <v>720</v>
      </c>
      <c r="G31" s="38">
        <v>1305</v>
      </c>
      <c r="H31" s="39">
        <v>1145</v>
      </c>
      <c r="I31" s="40">
        <v>1000</v>
      </c>
      <c r="J31" s="41">
        <v>2505</v>
      </c>
      <c r="K31" s="38">
        <v>1450</v>
      </c>
      <c r="L31" s="38">
        <v>940</v>
      </c>
      <c r="M31" s="38">
        <v>845</v>
      </c>
      <c r="N31" s="38">
        <v>745</v>
      </c>
      <c r="O31" s="38">
        <v>1170</v>
      </c>
      <c r="P31" s="38">
        <v>1025</v>
      </c>
      <c r="Q31" s="38">
        <v>1080</v>
      </c>
      <c r="R31" s="38">
        <v>550</v>
      </c>
      <c r="S31" s="38">
        <v>1000</v>
      </c>
      <c r="T31" s="38">
        <v>1280</v>
      </c>
      <c r="U31" s="38">
        <v>445</v>
      </c>
      <c r="V31" s="38">
        <v>695</v>
      </c>
      <c r="W31" s="994">
        <v>1220</v>
      </c>
      <c r="X31" s="994">
        <v>315</v>
      </c>
      <c r="Y31" s="994">
        <v>1800</v>
      </c>
      <c r="Z31" s="994"/>
      <c r="AA31" s="994"/>
      <c r="AB31" s="42">
        <f t="shared" si="5"/>
        <v>24880</v>
      </c>
      <c r="AC31" s="9">
        <f t="shared" si="6"/>
        <v>1081.7391304347825</v>
      </c>
    </row>
    <row r="32" spans="2:30" ht="15" customHeight="1" thickTop="1" thickBot="1">
      <c r="B32" s="25" t="s">
        <v>30</v>
      </c>
      <c r="C32" s="27">
        <v>795</v>
      </c>
      <c r="D32" s="27">
        <v>1665</v>
      </c>
      <c r="E32" s="27">
        <v>1650</v>
      </c>
      <c r="F32" s="27">
        <v>1520</v>
      </c>
      <c r="G32" s="27">
        <v>1695</v>
      </c>
      <c r="H32" s="27">
        <v>1745</v>
      </c>
      <c r="I32" s="7">
        <v>1745</v>
      </c>
      <c r="J32" s="26">
        <v>1090</v>
      </c>
      <c r="K32" s="28">
        <v>1315</v>
      </c>
      <c r="L32" s="27">
        <v>1655</v>
      </c>
      <c r="M32" s="27">
        <v>1150</v>
      </c>
      <c r="N32" s="27">
        <v>930</v>
      </c>
      <c r="O32" s="27">
        <v>990</v>
      </c>
      <c r="P32" s="27">
        <v>1150</v>
      </c>
      <c r="Q32" s="27">
        <v>1455</v>
      </c>
      <c r="R32" s="27">
        <v>1355</v>
      </c>
      <c r="S32" s="27">
        <v>1700</v>
      </c>
      <c r="T32" s="27">
        <v>580</v>
      </c>
      <c r="U32" s="27">
        <v>910</v>
      </c>
      <c r="V32" s="27">
        <v>1545</v>
      </c>
      <c r="W32" s="6">
        <v>1730</v>
      </c>
      <c r="X32" s="6">
        <v>1770</v>
      </c>
      <c r="Y32" s="7">
        <v>1880</v>
      </c>
      <c r="Z32" s="6"/>
      <c r="AA32" s="6"/>
      <c r="AB32" s="6">
        <f t="shared" si="5"/>
        <v>32020</v>
      </c>
      <c r="AC32" s="9">
        <f t="shared" si="6"/>
        <v>1392.1739130434783</v>
      </c>
    </row>
    <row r="33" spans="2:29" ht="15" customHeight="1" thickTop="1" thickBot="1">
      <c r="B33" s="19" t="s">
        <v>31</v>
      </c>
      <c r="C33" s="20">
        <v>220</v>
      </c>
      <c r="D33" s="20">
        <v>470</v>
      </c>
      <c r="E33" s="20">
        <v>185</v>
      </c>
      <c r="F33" s="20">
        <v>125</v>
      </c>
      <c r="G33" s="21">
        <v>305</v>
      </c>
      <c r="H33" s="20">
        <v>90</v>
      </c>
      <c r="I33" s="22">
        <v>200</v>
      </c>
      <c r="J33" s="20">
        <v>0</v>
      </c>
      <c r="K33" s="23">
        <v>580</v>
      </c>
      <c r="L33" s="20">
        <v>235</v>
      </c>
      <c r="M33" s="20">
        <v>215</v>
      </c>
      <c r="N33" s="20">
        <v>10</v>
      </c>
      <c r="O33" s="20">
        <v>125</v>
      </c>
      <c r="P33" s="20">
        <v>1000</v>
      </c>
      <c r="Q33" s="20">
        <v>170</v>
      </c>
      <c r="R33" s="21">
        <v>230</v>
      </c>
      <c r="S33" s="20">
        <v>75</v>
      </c>
      <c r="T33" s="20">
        <v>65</v>
      </c>
      <c r="U33" s="20">
        <v>65</v>
      </c>
      <c r="V33" s="20">
        <v>160</v>
      </c>
      <c r="W33" s="991">
        <v>5</v>
      </c>
      <c r="X33" s="991">
        <v>305</v>
      </c>
      <c r="Y33" s="991">
        <v>45</v>
      </c>
      <c r="Z33" s="991"/>
      <c r="AA33" s="991"/>
      <c r="AB33" s="24">
        <f t="shared" si="5"/>
        <v>4880</v>
      </c>
      <c r="AC33" s="9">
        <f t="shared" si="6"/>
        <v>212.17391304347825</v>
      </c>
    </row>
    <row r="34" spans="2:29" ht="15" customHeight="1" thickTop="1" thickBot="1">
      <c r="B34" s="37" t="s">
        <v>32</v>
      </c>
      <c r="C34" s="38">
        <v>950</v>
      </c>
      <c r="D34" s="38">
        <v>475</v>
      </c>
      <c r="E34" s="38">
        <v>1200</v>
      </c>
      <c r="F34" s="38">
        <v>800</v>
      </c>
      <c r="G34" s="38">
        <v>1625</v>
      </c>
      <c r="H34" s="38">
        <v>150</v>
      </c>
      <c r="I34" s="38">
        <v>1030</v>
      </c>
      <c r="J34" s="38">
        <v>0</v>
      </c>
      <c r="K34" s="39">
        <v>1105</v>
      </c>
      <c r="L34" s="38">
        <v>1265</v>
      </c>
      <c r="M34" s="38">
        <v>730</v>
      </c>
      <c r="N34" s="38">
        <v>65</v>
      </c>
      <c r="O34" s="38">
        <v>1130</v>
      </c>
      <c r="P34" s="38">
        <v>2475</v>
      </c>
      <c r="Q34" s="38">
        <v>2025</v>
      </c>
      <c r="R34" s="41">
        <v>4425</v>
      </c>
      <c r="S34" s="259">
        <v>1800</v>
      </c>
      <c r="T34" s="259">
        <v>2175</v>
      </c>
      <c r="U34" s="365">
        <v>2785</v>
      </c>
      <c r="V34" s="365">
        <v>3215</v>
      </c>
      <c r="W34" s="996">
        <v>3565</v>
      </c>
      <c r="X34" s="41">
        <v>4610</v>
      </c>
      <c r="Y34" s="996">
        <v>2300</v>
      </c>
      <c r="Z34" s="996"/>
      <c r="AA34" s="996"/>
      <c r="AB34" s="42">
        <f t="shared" si="5"/>
        <v>39900</v>
      </c>
      <c r="AC34" s="9">
        <f t="shared" si="6"/>
        <v>1734.7826086956522</v>
      </c>
    </row>
    <row r="35" spans="2:29" ht="15" customHeight="1" thickTop="1" thickBot="1">
      <c r="B35" s="19" t="s">
        <v>33</v>
      </c>
      <c r="C35" s="20">
        <v>300</v>
      </c>
      <c r="D35" s="20">
        <v>630</v>
      </c>
      <c r="E35" s="20">
        <v>0</v>
      </c>
      <c r="F35" s="20">
        <v>340</v>
      </c>
      <c r="G35" s="22">
        <v>10</v>
      </c>
      <c r="H35" s="20">
        <v>0</v>
      </c>
      <c r="I35" s="20">
        <v>0</v>
      </c>
      <c r="J35" s="20">
        <v>0</v>
      </c>
      <c r="K35" s="20">
        <v>0</v>
      </c>
      <c r="L35" s="20">
        <v>340</v>
      </c>
      <c r="M35" s="20">
        <v>85</v>
      </c>
      <c r="N35" s="21">
        <v>440</v>
      </c>
      <c r="O35" s="20">
        <v>255</v>
      </c>
      <c r="P35" s="20">
        <v>15</v>
      </c>
      <c r="Q35" s="20">
        <v>165</v>
      </c>
      <c r="R35" s="22">
        <v>520</v>
      </c>
      <c r="S35" s="20">
        <v>155</v>
      </c>
      <c r="T35" s="20">
        <v>0</v>
      </c>
      <c r="U35" s="20">
        <v>165</v>
      </c>
      <c r="V35" s="20">
        <v>100</v>
      </c>
      <c r="W35" s="993">
        <v>20</v>
      </c>
      <c r="X35" s="993">
        <v>15</v>
      </c>
      <c r="Y35" s="993">
        <v>0</v>
      </c>
      <c r="Z35" s="993"/>
      <c r="AA35" s="993"/>
      <c r="AB35" s="24">
        <f t="shared" si="5"/>
        <v>3555</v>
      </c>
      <c r="AC35" s="9">
        <f t="shared" si="6"/>
        <v>154.56521739130434</v>
      </c>
    </row>
    <row r="36" spans="2:29" ht="15" customHeight="1" thickTop="1" thickBot="1">
      <c r="B36" s="19" t="s">
        <v>34</v>
      </c>
      <c r="C36" s="20">
        <v>205</v>
      </c>
      <c r="D36" s="20">
        <v>175</v>
      </c>
      <c r="E36" s="20">
        <v>310</v>
      </c>
      <c r="F36" s="20">
        <v>60</v>
      </c>
      <c r="G36" s="20">
        <v>190</v>
      </c>
      <c r="H36" s="20">
        <v>55</v>
      </c>
      <c r="I36" s="20">
        <v>270</v>
      </c>
      <c r="J36" s="20">
        <v>190</v>
      </c>
      <c r="K36" s="20">
        <v>115</v>
      </c>
      <c r="L36" s="20">
        <v>60</v>
      </c>
      <c r="M36" s="21">
        <v>25</v>
      </c>
      <c r="N36" s="23">
        <v>365</v>
      </c>
      <c r="O36" s="20">
        <v>35</v>
      </c>
      <c r="P36" s="20">
        <v>100</v>
      </c>
      <c r="Q36" s="20">
        <v>265</v>
      </c>
      <c r="R36" s="20">
        <v>120</v>
      </c>
      <c r="S36" s="20">
        <v>60</v>
      </c>
      <c r="T36" s="20">
        <v>40</v>
      </c>
      <c r="U36" s="20">
        <v>0</v>
      </c>
      <c r="V36" s="20">
        <v>0</v>
      </c>
      <c r="W36" s="993">
        <v>5</v>
      </c>
      <c r="X36" s="993">
        <v>0</v>
      </c>
      <c r="Y36" s="993">
        <v>0</v>
      </c>
      <c r="Z36" s="993"/>
      <c r="AA36" s="993"/>
      <c r="AB36" s="24">
        <f t="shared" si="5"/>
        <v>2645</v>
      </c>
      <c r="AC36" s="9">
        <f t="shared" si="6"/>
        <v>115</v>
      </c>
    </row>
    <row r="37" spans="2:29" ht="13" customHeight="1">
      <c r="B37" s="19" t="s">
        <v>35</v>
      </c>
      <c r="C37" s="20">
        <v>505</v>
      </c>
      <c r="D37" s="20">
        <v>430</v>
      </c>
      <c r="E37" s="20">
        <v>570</v>
      </c>
      <c r="F37" s="20">
        <v>425</v>
      </c>
      <c r="G37" s="20">
        <v>320</v>
      </c>
      <c r="H37" s="20">
        <v>30</v>
      </c>
      <c r="I37" s="43">
        <v>850</v>
      </c>
      <c r="J37" s="20">
        <v>515</v>
      </c>
      <c r="K37" s="20">
        <v>630</v>
      </c>
      <c r="L37" s="20">
        <v>1565</v>
      </c>
      <c r="M37" s="44">
        <v>1765</v>
      </c>
      <c r="N37" s="22">
        <v>1325</v>
      </c>
      <c r="O37" s="20">
        <v>1110</v>
      </c>
      <c r="P37" s="20">
        <v>1150</v>
      </c>
      <c r="Q37" s="20">
        <v>1070</v>
      </c>
      <c r="R37" s="20">
        <v>1200</v>
      </c>
      <c r="S37" s="20">
        <v>1050</v>
      </c>
      <c r="T37" s="20">
        <v>390</v>
      </c>
      <c r="U37" s="20">
        <v>60</v>
      </c>
      <c r="V37" s="20">
        <v>220</v>
      </c>
      <c r="W37" s="993">
        <v>35</v>
      </c>
      <c r="X37" s="993">
        <v>370</v>
      </c>
      <c r="Y37" s="993">
        <v>200</v>
      </c>
      <c r="Z37" s="993"/>
      <c r="AA37" s="993"/>
      <c r="AB37" s="24">
        <f t="shared" si="5"/>
        <v>15785</v>
      </c>
      <c r="AC37" s="9">
        <f t="shared" si="6"/>
        <v>686.304347826087</v>
      </c>
    </row>
    <row r="38" spans="2:29" ht="13" customHeight="1">
      <c r="B38" s="19" t="s">
        <v>36</v>
      </c>
      <c r="C38" s="20">
        <v>46</v>
      </c>
      <c r="D38" s="20">
        <v>90</v>
      </c>
      <c r="E38" s="20">
        <v>300</v>
      </c>
      <c r="F38" s="20">
        <v>435</v>
      </c>
      <c r="G38" s="20">
        <v>350</v>
      </c>
      <c r="H38" s="20">
        <v>450</v>
      </c>
      <c r="I38" s="44">
        <v>750</v>
      </c>
      <c r="J38" s="21">
        <v>340</v>
      </c>
      <c r="K38" s="20">
        <v>590</v>
      </c>
      <c r="L38" s="20">
        <v>180</v>
      </c>
      <c r="M38" s="22">
        <v>55</v>
      </c>
      <c r="N38" s="20">
        <v>145</v>
      </c>
      <c r="O38" s="20">
        <v>30</v>
      </c>
      <c r="P38" s="20">
        <v>30</v>
      </c>
      <c r="Q38" s="20">
        <v>45</v>
      </c>
      <c r="R38" s="20">
        <v>15</v>
      </c>
      <c r="S38" s="20">
        <v>20</v>
      </c>
      <c r="T38" s="20">
        <v>40</v>
      </c>
      <c r="U38" s="20">
        <v>0</v>
      </c>
      <c r="V38" s="20">
        <v>65</v>
      </c>
      <c r="W38" s="993">
        <v>25</v>
      </c>
      <c r="X38" s="993">
        <v>270</v>
      </c>
      <c r="Y38" s="993">
        <v>30</v>
      </c>
      <c r="Z38" s="993"/>
      <c r="AA38" s="993"/>
      <c r="AB38" s="24">
        <f t="shared" si="5"/>
        <v>4301</v>
      </c>
      <c r="AC38" s="9">
        <f t="shared" si="6"/>
        <v>187</v>
      </c>
    </row>
    <row r="39" spans="2:29" ht="13" customHeight="1">
      <c r="B39" s="19" t="s">
        <v>37</v>
      </c>
      <c r="C39" s="20">
        <v>115</v>
      </c>
      <c r="D39" s="20">
        <v>50</v>
      </c>
      <c r="E39" s="20">
        <v>30</v>
      </c>
      <c r="F39" s="20">
        <v>0</v>
      </c>
      <c r="G39" s="21">
        <v>280</v>
      </c>
      <c r="H39" s="20">
        <v>50</v>
      </c>
      <c r="I39" s="22">
        <v>150</v>
      </c>
      <c r="J39" s="44">
        <v>410</v>
      </c>
      <c r="K39" s="20">
        <v>60</v>
      </c>
      <c r="L39" s="20">
        <v>110</v>
      </c>
      <c r="M39" s="20">
        <v>10</v>
      </c>
      <c r="N39" s="20">
        <v>0</v>
      </c>
      <c r="O39" s="20">
        <v>0</v>
      </c>
      <c r="P39" s="20">
        <v>50</v>
      </c>
      <c r="Q39" s="20">
        <v>30</v>
      </c>
      <c r="R39" s="20">
        <v>10</v>
      </c>
      <c r="S39" s="20">
        <v>50</v>
      </c>
      <c r="T39" s="20">
        <v>35</v>
      </c>
      <c r="U39" s="20">
        <v>90</v>
      </c>
      <c r="V39" s="20">
        <v>25</v>
      </c>
      <c r="W39" s="993">
        <v>120</v>
      </c>
      <c r="X39" s="993">
        <v>75</v>
      </c>
      <c r="Y39" s="993">
        <v>100</v>
      </c>
      <c r="Z39" s="993"/>
      <c r="AA39" s="993"/>
      <c r="AB39" s="24">
        <f t="shared" si="5"/>
        <v>1850</v>
      </c>
      <c r="AC39" s="9">
        <f t="shared" si="6"/>
        <v>80.434782608695656</v>
      </c>
    </row>
    <row r="40" spans="2:29" ht="13" customHeight="1">
      <c r="B40" s="37" t="s">
        <v>38</v>
      </c>
      <c r="C40" s="38">
        <v>375</v>
      </c>
      <c r="D40" s="38">
        <v>805</v>
      </c>
      <c r="E40" s="38">
        <v>1710</v>
      </c>
      <c r="F40" s="40">
        <v>1510</v>
      </c>
      <c r="G40" s="41">
        <v>2130</v>
      </c>
      <c r="H40" s="38">
        <v>655</v>
      </c>
      <c r="I40" s="38">
        <v>1550</v>
      </c>
      <c r="J40" s="39">
        <v>630</v>
      </c>
      <c r="K40" s="38">
        <v>225</v>
      </c>
      <c r="L40" s="38">
        <v>400</v>
      </c>
      <c r="M40" s="38">
        <v>405</v>
      </c>
      <c r="N40" s="40">
        <v>0</v>
      </c>
      <c r="O40" s="38">
        <v>20</v>
      </c>
      <c r="P40" s="38">
        <v>0</v>
      </c>
      <c r="Q40" s="38">
        <v>80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997">
        <v>0</v>
      </c>
      <c r="X40" s="997">
        <v>0</v>
      </c>
      <c r="Y40" s="997">
        <v>1550</v>
      </c>
      <c r="Z40" s="997"/>
      <c r="AA40" s="997"/>
      <c r="AB40" s="42">
        <f>SUM(C40:AA40)</f>
        <v>12045</v>
      </c>
      <c r="AC40" s="9">
        <f t="shared" si="6"/>
        <v>523.695652173913</v>
      </c>
    </row>
    <row r="41" spans="2:29" ht="15" customHeight="1" thickTop="1" thickBot="1">
      <c r="B41" s="19" t="s">
        <v>39</v>
      </c>
      <c r="C41" s="21">
        <v>176</v>
      </c>
      <c r="D41" s="20">
        <v>395</v>
      </c>
      <c r="E41" s="20">
        <v>360</v>
      </c>
      <c r="F41" s="20">
        <v>430</v>
      </c>
      <c r="G41" s="22">
        <v>295</v>
      </c>
      <c r="H41" s="20">
        <v>105</v>
      </c>
      <c r="I41" s="21">
        <v>225</v>
      </c>
      <c r="J41" s="20">
        <v>305</v>
      </c>
      <c r="K41" s="20">
        <v>170</v>
      </c>
      <c r="L41" s="20">
        <v>215</v>
      </c>
      <c r="M41" s="20">
        <v>225</v>
      </c>
      <c r="N41" s="23">
        <v>520</v>
      </c>
      <c r="O41" s="20">
        <v>275</v>
      </c>
      <c r="P41" s="20">
        <v>510</v>
      </c>
      <c r="Q41" s="20">
        <v>360</v>
      </c>
      <c r="R41" s="20">
        <v>315</v>
      </c>
      <c r="S41" s="20">
        <v>235</v>
      </c>
      <c r="T41" s="20">
        <v>180</v>
      </c>
      <c r="U41" s="20">
        <v>150</v>
      </c>
      <c r="V41" s="20">
        <v>300</v>
      </c>
      <c r="W41" s="993">
        <v>100</v>
      </c>
      <c r="X41" s="993">
        <v>0</v>
      </c>
      <c r="Y41" s="993">
        <v>25</v>
      </c>
      <c r="Z41" s="993"/>
      <c r="AA41" s="993"/>
      <c r="AB41" s="24">
        <f>SUM(C41:Y41)</f>
        <v>5871</v>
      </c>
      <c r="AC41" s="9">
        <f t="shared" si="6"/>
        <v>255.2608695652174</v>
      </c>
    </row>
    <row r="42" spans="2:29" ht="15" customHeight="1" thickTop="1" thickBot="1">
      <c r="B42" s="19" t="s">
        <v>40</v>
      </c>
      <c r="C42" s="23">
        <v>2150</v>
      </c>
      <c r="D42" s="20">
        <v>780</v>
      </c>
      <c r="E42" s="20">
        <v>800</v>
      </c>
      <c r="F42" s="22">
        <v>610</v>
      </c>
      <c r="G42" s="20">
        <v>0</v>
      </c>
      <c r="H42" s="20">
        <v>0</v>
      </c>
      <c r="I42" s="44">
        <v>2100</v>
      </c>
      <c r="J42" s="21">
        <v>0</v>
      </c>
      <c r="K42" s="20">
        <v>995</v>
      </c>
      <c r="L42" s="20">
        <v>0</v>
      </c>
      <c r="M42" s="20">
        <v>0</v>
      </c>
      <c r="N42" s="22">
        <v>275</v>
      </c>
      <c r="O42" s="20">
        <v>250</v>
      </c>
      <c r="P42" s="20">
        <v>0</v>
      </c>
      <c r="Q42" s="20">
        <v>390</v>
      </c>
      <c r="R42" s="20">
        <v>140</v>
      </c>
      <c r="S42" s="20">
        <v>50</v>
      </c>
      <c r="T42" s="20">
        <v>0</v>
      </c>
      <c r="U42" s="20">
        <v>110</v>
      </c>
      <c r="V42" s="20">
        <v>0</v>
      </c>
      <c r="W42" s="992">
        <v>5</v>
      </c>
      <c r="X42" s="992">
        <v>0</v>
      </c>
      <c r="Y42" s="992">
        <v>0</v>
      </c>
      <c r="Z42" s="992"/>
      <c r="AA42" s="992"/>
      <c r="AB42" s="24">
        <f t="shared" ref="AB42:AB49" si="7">SUM(C42:AA42)</f>
        <v>8655</v>
      </c>
      <c r="AC42" s="9">
        <f t="shared" si="6"/>
        <v>376.30434782608694</v>
      </c>
    </row>
    <row r="43" spans="2:29" ht="15" customHeight="1" thickTop="1" thickBot="1">
      <c r="B43" s="25" t="s">
        <v>41</v>
      </c>
      <c r="C43" s="6">
        <v>275</v>
      </c>
      <c r="D43" s="27">
        <v>275</v>
      </c>
      <c r="E43" s="27">
        <v>1785</v>
      </c>
      <c r="F43" s="27">
        <v>1960</v>
      </c>
      <c r="G43" s="27">
        <v>1770</v>
      </c>
      <c r="H43" s="27">
        <v>2105</v>
      </c>
      <c r="I43" s="26">
        <v>1000</v>
      </c>
      <c r="J43" s="27">
        <v>2625</v>
      </c>
      <c r="K43" s="27">
        <v>135</v>
      </c>
      <c r="L43" s="27">
        <v>475</v>
      </c>
      <c r="M43" s="27">
        <v>300</v>
      </c>
      <c r="N43" s="27">
        <v>5</v>
      </c>
      <c r="O43" s="27">
        <v>2285</v>
      </c>
      <c r="P43" s="27">
        <v>300</v>
      </c>
      <c r="Q43" s="27">
        <v>1795</v>
      </c>
      <c r="R43" s="27">
        <v>3840</v>
      </c>
      <c r="S43" s="6">
        <v>750</v>
      </c>
      <c r="T43" s="6">
        <v>1660</v>
      </c>
      <c r="U43" s="27">
        <v>1770</v>
      </c>
      <c r="V43" s="7">
        <v>3855</v>
      </c>
      <c r="W43" s="302">
        <v>10</v>
      </c>
      <c r="X43" s="7">
        <v>2865</v>
      </c>
      <c r="Y43" s="302">
        <v>205</v>
      </c>
      <c r="Z43" s="302"/>
      <c r="AA43" s="302"/>
      <c r="AB43" s="6">
        <f t="shared" si="7"/>
        <v>32045</v>
      </c>
      <c r="AC43" s="9">
        <f t="shared" si="6"/>
        <v>1393.2608695652175</v>
      </c>
    </row>
    <row r="44" spans="2:29" ht="15" customHeight="1" thickTop="1" thickBot="1">
      <c r="B44" s="19" t="s">
        <v>42</v>
      </c>
      <c r="C44" s="23">
        <v>700</v>
      </c>
      <c r="D44" s="20">
        <v>275</v>
      </c>
      <c r="E44" s="20">
        <v>0</v>
      </c>
      <c r="F44" s="20">
        <v>0</v>
      </c>
      <c r="G44" s="20">
        <v>60</v>
      </c>
      <c r="H44" s="20">
        <v>0</v>
      </c>
      <c r="I44" s="20">
        <v>0</v>
      </c>
      <c r="J44" s="9">
        <v>50</v>
      </c>
      <c r="K44" s="20">
        <v>0</v>
      </c>
      <c r="L44" s="20">
        <v>0</v>
      </c>
      <c r="M44" s="20">
        <v>0</v>
      </c>
      <c r="N44" s="20">
        <v>100</v>
      </c>
      <c r="O44" s="20">
        <v>0</v>
      </c>
      <c r="P44" s="20">
        <v>0</v>
      </c>
      <c r="Q44" s="20">
        <v>0</v>
      </c>
      <c r="R44" s="20">
        <v>50</v>
      </c>
      <c r="S44" s="20">
        <v>0</v>
      </c>
      <c r="T44" s="20">
        <v>0</v>
      </c>
      <c r="U44" s="20">
        <v>0</v>
      </c>
      <c r="V44" s="20">
        <v>40</v>
      </c>
      <c r="W44" s="9">
        <v>5</v>
      </c>
      <c r="X44" s="9">
        <v>10</v>
      </c>
      <c r="Y44" s="9">
        <v>50</v>
      </c>
      <c r="Z44" s="9"/>
      <c r="AA44" s="9"/>
      <c r="AB44" s="24">
        <f t="shared" si="7"/>
        <v>1340</v>
      </c>
      <c r="AC44" s="9">
        <f t="shared" si="6"/>
        <v>58.260869565217391</v>
      </c>
    </row>
    <row r="45" spans="2:29" ht="15" customHeight="1" thickTop="1" thickBot="1">
      <c r="B45" s="45" t="s">
        <v>43</v>
      </c>
      <c r="C45" s="46">
        <v>575</v>
      </c>
      <c r="D45" s="47">
        <v>300</v>
      </c>
      <c r="E45" s="47">
        <v>1900</v>
      </c>
      <c r="F45" s="47">
        <v>500</v>
      </c>
      <c r="G45" s="47">
        <v>0</v>
      </c>
      <c r="H45" s="47">
        <v>0</v>
      </c>
      <c r="I45" s="47">
        <v>0</v>
      </c>
      <c r="J45" s="48">
        <v>8795</v>
      </c>
      <c r="K45" s="47">
        <v>1610</v>
      </c>
      <c r="L45" s="47">
        <v>25</v>
      </c>
      <c r="M45" s="47">
        <v>70</v>
      </c>
      <c r="N45" s="49">
        <v>4495</v>
      </c>
      <c r="O45" s="47">
        <v>70</v>
      </c>
      <c r="P45" s="47">
        <v>0</v>
      </c>
      <c r="Q45" s="47">
        <v>0</v>
      </c>
      <c r="R45" s="47">
        <v>70</v>
      </c>
      <c r="S45" s="47">
        <v>70</v>
      </c>
      <c r="T45" s="47">
        <v>105</v>
      </c>
      <c r="U45" s="47">
        <v>210</v>
      </c>
      <c r="V45" s="47">
        <v>0</v>
      </c>
      <c r="W45" s="50">
        <v>0</v>
      </c>
      <c r="X45" s="50">
        <v>70</v>
      </c>
      <c r="Y45" s="50">
        <v>155</v>
      </c>
      <c r="Z45" s="50"/>
      <c r="AA45" s="50"/>
      <c r="AB45" s="50">
        <f t="shared" si="7"/>
        <v>19020</v>
      </c>
      <c r="AC45" s="9">
        <f t="shared" si="6"/>
        <v>826.95652173913038</v>
      </c>
    </row>
    <row r="46" spans="2:29" ht="15" customHeight="1" thickTop="1" thickBot="1">
      <c r="B46" s="30" t="s">
        <v>44</v>
      </c>
      <c r="C46" s="20">
        <v>1800</v>
      </c>
      <c r="D46" s="20">
        <v>0</v>
      </c>
      <c r="E46" s="20">
        <v>0</v>
      </c>
      <c r="F46" s="20">
        <v>0</v>
      </c>
      <c r="G46" s="20">
        <v>0</v>
      </c>
      <c r="H46" s="20">
        <v>1490</v>
      </c>
      <c r="I46" s="20">
        <v>115</v>
      </c>
      <c r="J46" s="23">
        <v>4195</v>
      </c>
      <c r="K46" s="20">
        <v>60</v>
      </c>
      <c r="L46" s="20">
        <v>4020</v>
      </c>
      <c r="M46" s="21">
        <v>185</v>
      </c>
      <c r="N46" s="23">
        <v>6670</v>
      </c>
      <c r="O46" s="20">
        <v>440</v>
      </c>
      <c r="P46" s="20">
        <v>500</v>
      </c>
      <c r="Q46" s="20">
        <v>75</v>
      </c>
      <c r="R46" s="21">
        <v>350</v>
      </c>
      <c r="S46" s="20">
        <v>190</v>
      </c>
      <c r="T46" s="20">
        <v>145</v>
      </c>
      <c r="U46" s="20">
        <v>1770</v>
      </c>
      <c r="V46" s="20">
        <v>185</v>
      </c>
      <c r="W46" s="9">
        <v>0</v>
      </c>
      <c r="X46" s="9">
        <v>750</v>
      </c>
      <c r="Y46" s="9">
        <v>100</v>
      </c>
      <c r="Z46" s="9"/>
      <c r="AA46" s="9"/>
      <c r="AB46" s="24">
        <f t="shared" si="7"/>
        <v>23040</v>
      </c>
      <c r="AC46" s="9">
        <f t="shared" si="6"/>
        <v>1001.7391304347826</v>
      </c>
    </row>
    <row r="47" spans="2:29" ht="15" customHeight="1" thickTop="1" thickBot="1">
      <c r="B47" s="51" t="s">
        <v>45</v>
      </c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3">
        <v>0</v>
      </c>
      <c r="K47" s="52">
        <v>0</v>
      </c>
      <c r="L47" s="52">
        <v>0</v>
      </c>
      <c r="M47" s="52">
        <v>285</v>
      </c>
      <c r="N47" s="52">
        <v>420</v>
      </c>
      <c r="O47" s="52">
        <v>490</v>
      </c>
      <c r="P47" s="52">
        <v>1000</v>
      </c>
      <c r="Q47" s="54">
        <v>980</v>
      </c>
      <c r="R47" s="303">
        <v>1630</v>
      </c>
      <c r="S47" s="303">
        <v>1425</v>
      </c>
      <c r="T47" s="54">
        <v>800</v>
      </c>
      <c r="U47" s="303">
        <v>2780</v>
      </c>
      <c r="V47" s="272">
        <v>2845</v>
      </c>
      <c r="W47" s="303">
        <v>1990</v>
      </c>
      <c r="X47" s="303">
        <v>875</v>
      </c>
      <c r="Y47" s="303">
        <v>2655</v>
      </c>
      <c r="Z47" s="303"/>
      <c r="AA47" s="303"/>
      <c r="AB47" s="54">
        <f t="shared" si="7"/>
        <v>18175</v>
      </c>
      <c r="AC47" s="9">
        <f t="shared" si="6"/>
        <v>790.21739130434787</v>
      </c>
    </row>
    <row r="48" spans="2:29" ht="14" customHeight="1" thickTop="1">
      <c r="B48" s="19" t="s">
        <v>9</v>
      </c>
      <c r="C48" s="20">
        <v>750</v>
      </c>
      <c r="D48" s="20">
        <v>60</v>
      </c>
      <c r="E48" s="20">
        <v>220</v>
      </c>
      <c r="F48" s="20">
        <v>240</v>
      </c>
      <c r="G48" s="20">
        <v>195</v>
      </c>
      <c r="H48" s="20">
        <v>120</v>
      </c>
      <c r="I48" s="20">
        <v>100</v>
      </c>
      <c r="J48" s="20">
        <v>35</v>
      </c>
      <c r="K48" s="20">
        <v>0</v>
      </c>
      <c r="L48" s="20">
        <v>150</v>
      </c>
      <c r="M48" s="22">
        <v>0</v>
      </c>
      <c r="N48" s="22">
        <v>0</v>
      </c>
      <c r="O48" s="20">
        <v>0</v>
      </c>
      <c r="P48" s="20">
        <v>0</v>
      </c>
      <c r="Q48" s="20">
        <v>0</v>
      </c>
      <c r="R48" s="22">
        <v>25</v>
      </c>
      <c r="S48" s="20">
        <v>100</v>
      </c>
      <c r="T48" s="20">
        <v>110</v>
      </c>
      <c r="U48" s="20">
        <v>135</v>
      </c>
      <c r="V48" s="20">
        <v>0</v>
      </c>
      <c r="W48" s="991">
        <v>455</v>
      </c>
      <c r="X48" s="991">
        <v>1225</v>
      </c>
      <c r="Y48" s="991">
        <v>285</v>
      </c>
      <c r="Z48" s="991"/>
      <c r="AA48" s="991"/>
      <c r="AB48" s="24">
        <f t="shared" si="7"/>
        <v>4205</v>
      </c>
      <c r="AC48" s="9">
        <f t="shared" si="6"/>
        <v>182.82608695652175</v>
      </c>
    </row>
    <row r="49" spans="2:30" ht="13" customHeight="1">
      <c r="B49" s="55" t="s">
        <v>46</v>
      </c>
      <c r="C49" s="56">
        <v>400</v>
      </c>
      <c r="D49" s="56">
        <v>0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21">
        <v>0</v>
      </c>
      <c r="U49" s="366">
        <v>0</v>
      </c>
      <c r="V49" s="366">
        <v>0</v>
      </c>
      <c r="W49" s="992">
        <v>0</v>
      </c>
      <c r="X49" s="992">
        <v>0</v>
      </c>
      <c r="Y49" s="992">
        <v>0</v>
      </c>
      <c r="Z49" s="992"/>
      <c r="AA49" s="992"/>
      <c r="AB49" s="24">
        <f t="shared" si="7"/>
        <v>400</v>
      </c>
      <c r="AC49" s="9">
        <f t="shared" si="6"/>
        <v>17.391304347826086</v>
      </c>
    </row>
    <row r="50" spans="2:30" ht="10.5" customHeight="1">
      <c r="T50" s="317"/>
      <c r="U50" s="317"/>
      <c r="V50" s="317"/>
      <c r="W50" s="317"/>
      <c r="X50" s="317"/>
      <c r="Y50" s="317"/>
      <c r="Z50" s="317"/>
      <c r="AA50" s="317"/>
      <c r="AB50" s="318"/>
      <c r="AC50" s="9"/>
    </row>
    <row r="51" spans="2:30" ht="13" customHeight="1">
      <c r="B51" s="57" t="s">
        <v>47</v>
      </c>
      <c r="C51" s="58">
        <f t="shared" ref="C51:M51" si="8">SUM(C15:C50) - C30</f>
        <v>21996</v>
      </c>
      <c r="D51" s="58">
        <f t="shared" si="8"/>
        <v>19294</v>
      </c>
      <c r="E51" s="58">
        <f t="shared" si="8"/>
        <v>27015</v>
      </c>
      <c r="F51" s="58">
        <f t="shared" si="8"/>
        <v>23585</v>
      </c>
      <c r="G51" s="58">
        <f t="shared" si="8"/>
        <v>23200</v>
      </c>
      <c r="H51" s="58">
        <f t="shared" si="8"/>
        <v>29780</v>
      </c>
      <c r="I51" s="59">
        <f t="shared" si="8"/>
        <v>44265</v>
      </c>
      <c r="J51" s="58">
        <f t="shared" si="8"/>
        <v>39830</v>
      </c>
      <c r="K51" s="58">
        <f t="shared" si="8"/>
        <v>26570</v>
      </c>
      <c r="L51" s="58">
        <f t="shared" si="8"/>
        <v>28635</v>
      </c>
      <c r="M51" s="58">
        <f t="shared" si="8"/>
        <v>30035</v>
      </c>
      <c r="N51" s="58">
        <f t="shared" ref="N51:Y51" si="9">SUM(N15:N50)</f>
        <v>33140</v>
      </c>
      <c r="O51" s="58">
        <f t="shared" si="9"/>
        <v>24305</v>
      </c>
      <c r="P51" s="58">
        <f t="shared" si="9"/>
        <v>36100</v>
      </c>
      <c r="Q51" s="58">
        <f t="shared" si="9"/>
        <v>27715</v>
      </c>
      <c r="R51" s="58">
        <f t="shared" si="9"/>
        <v>33930</v>
      </c>
      <c r="S51" s="58">
        <f t="shared" si="9"/>
        <v>29070</v>
      </c>
      <c r="T51" s="58">
        <f t="shared" si="9"/>
        <v>27695</v>
      </c>
      <c r="U51" s="58">
        <f t="shared" si="9"/>
        <v>31025</v>
      </c>
      <c r="V51" s="58">
        <f t="shared" si="9"/>
        <v>38670</v>
      </c>
      <c r="W51" s="58">
        <f t="shared" si="9"/>
        <v>46440</v>
      </c>
      <c r="X51" s="58">
        <f t="shared" si="9"/>
        <v>48668</v>
      </c>
      <c r="Y51" s="58">
        <f t="shared" si="9"/>
        <v>48660</v>
      </c>
      <c r="Z51" s="58"/>
      <c r="AA51" s="58"/>
      <c r="AB51" s="60">
        <f>SUM(AB15:AB50) - AB30</f>
        <v>738513</v>
      </c>
      <c r="AC51" s="9">
        <f>AVERAGE(C51:Y51)</f>
        <v>32157.521739130436</v>
      </c>
      <c r="AD51" s="15" t="s">
        <v>48</v>
      </c>
    </row>
    <row r="52" spans="2:30" ht="13" customHeight="1">
      <c r="B52" s="61" t="s">
        <v>49</v>
      </c>
      <c r="C52" s="62">
        <v>1241.6666666666699</v>
      </c>
      <c r="D52" s="62">
        <v>825</v>
      </c>
      <c r="E52" s="62">
        <v>100</v>
      </c>
      <c r="F52" s="62">
        <v>116.666666666667</v>
      </c>
      <c r="G52" s="62">
        <v>116.666666666667</v>
      </c>
      <c r="H52" s="62">
        <v>300</v>
      </c>
      <c r="I52" s="62">
        <v>520</v>
      </c>
      <c r="J52" s="62">
        <v>180</v>
      </c>
      <c r="K52" s="62">
        <v>180</v>
      </c>
      <c r="L52" s="62">
        <v>110</v>
      </c>
      <c r="M52" s="62">
        <v>105</v>
      </c>
      <c r="N52" s="62">
        <v>104</v>
      </c>
      <c r="O52" s="62">
        <v>105</v>
      </c>
      <c r="P52" s="62">
        <v>105</v>
      </c>
      <c r="Q52" s="62">
        <v>100</v>
      </c>
      <c r="R52" s="62">
        <v>100</v>
      </c>
      <c r="S52" s="62">
        <v>250</v>
      </c>
      <c r="T52" s="319">
        <v>300</v>
      </c>
      <c r="U52" s="319">
        <v>350</v>
      </c>
      <c r="V52" s="319"/>
      <c r="W52" s="62"/>
      <c r="X52" s="62"/>
      <c r="Y52" s="62"/>
      <c r="Z52" s="62"/>
      <c r="AA52" s="62"/>
      <c r="AB52" s="62"/>
      <c r="AC52" s="9">
        <f>AVERAGE(C52:Y52)</f>
        <v>274.15789473684231</v>
      </c>
      <c r="AD52" s="63"/>
    </row>
    <row r="53" spans="2:30" ht="13" customHeight="1">
      <c r="B53" s="61" t="s">
        <v>50</v>
      </c>
      <c r="C53" s="62">
        <v>2947</v>
      </c>
      <c r="D53" s="62">
        <v>6460.75</v>
      </c>
      <c r="E53" s="62">
        <v>13954.666666666701</v>
      </c>
      <c r="F53" s="62">
        <v>22538.75</v>
      </c>
      <c r="G53" s="62">
        <v>21226.25</v>
      </c>
      <c r="H53" s="62">
        <v>16817.083333333299</v>
      </c>
      <c r="I53" s="62">
        <v>21825</v>
      </c>
      <c r="J53" s="62">
        <v>28665</v>
      </c>
      <c r="K53" s="62">
        <v>28665</v>
      </c>
      <c r="L53" s="62">
        <v>20575</v>
      </c>
      <c r="M53" s="62">
        <v>16000</v>
      </c>
      <c r="N53" s="62">
        <v>18390</v>
      </c>
      <c r="O53" s="62">
        <v>16145</v>
      </c>
      <c r="P53" s="62">
        <v>22500</v>
      </c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9">
        <f>AVERAGE(C53:Y53)</f>
        <v>18336.392857142859</v>
      </c>
      <c r="AD53" s="63"/>
    </row>
    <row r="54" spans="2:30" ht="6.75" customHeight="1">
      <c r="B54" s="61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9"/>
      <c r="AD54" s="63"/>
    </row>
    <row r="55" spans="2:30" ht="13" customHeight="1">
      <c r="B55" s="61" t="s">
        <v>51</v>
      </c>
      <c r="C55" s="62">
        <v>1948.25</v>
      </c>
      <c r="D55" s="62">
        <v>1949.75</v>
      </c>
      <c r="E55" s="62">
        <v>2220.1666666666702</v>
      </c>
      <c r="F55" s="62">
        <v>2034.5833333333301</v>
      </c>
      <c r="G55" s="62">
        <v>1979.1666666666699</v>
      </c>
      <c r="H55" s="62">
        <v>2625.8333333333298</v>
      </c>
      <c r="I55" s="64">
        <v>3835</v>
      </c>
      <c r="J55" s="62">
        <v>3410</v>
      </c>
      <c r="K55" s="62">
        <v>3410</v>
      </c>
      <c r="L55" s="62">
        <v>2385</v>
      </c>
      <c r="M55" s="62">
        <v>2510</v>
      </c>
      <c r="N55" s="62">
        <v>2760</v>
      </c>
      <c r="O55" s="62">
        <v>2015</v>
      </c>
      <c r="P55" s="62">
        <v>3000</v>
      </c>
      <c r="Q55" s="62"/>
      <c r="R55" s="62">
        <v>2645</v>
      </c>
      <c r="S55" s="62"/>
      <c r="T55" s="62"/>
      <c r="U55" s="62">
        <v>2585</v>
      </c>
      <c r="V55" s="62"/>
      <c r="W55" s="62"/>
      <c r="X55" s="62"/>
      <c r="Y55" s="62"/>
      <c r="Z55" s="62"/>
      <c r="AA55" s="62"/>
      <c r="AB55" s="62"/>
      <c r="AC55" s="9">
        <f>AVERAGE(C55:Y55)</f>
        <v>2582.046875</v>
      </c>
      <c r="AD55" s="63"/>
    </row>
    <row r="56" spans="2:30" ht="13" customHeight="1">
      <c r="B56" s="61" t="s">
        <v>52</v>
      </c>
      <c r="C56" s="62">
        <v>5633.3333333333303</v>
      </c>
      <c r="D56" s="62">
        <v>9957.25</v>
      </c>
      <c r="E56" s="62">
        <v>18149.083333333299</v>
      </c>
      <c r="F56" s="62">
        <v>27758.333333333299</v>
      </c>
      <c r="G56" s="62">
        <v>34090.833333333299</v>
      </c>
      <c r="H56" s="62">
        <v>38000.416666666701</v>
      </c>
      <c r="I56" s="62">
        <v>43815</v>
      </c>
      <c r="J56" s="62">
        <v>50380</v>
      </c>
      <c r="K56" s="62">
        <v>50380</v>
      </c>
      <c r="L56" s="62">
        <v>42170</v>
      </c>
      <c r="M56" s="62">
        <v>37665</v>
      </c>
      <c r="N56" s="62">
        <v>40020</v>
      </c>
      <c r="O56" s="62">
        <v>38000</v>
      </c>
      <c r="P56" s="62">
        <v>37250</v>
      </c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9">
        <f>AVERAGE(C56:Y56)</f>
        <v>33804.946428571428</v>
      </c>
      <c r="AD56" s="63"/>
    </row>
    <row r="57" spans="2:30" ht="13" customHeight="1">
      <c r="B57" s="61" t="s">
        <v>53</v>
      </c>
      <c r="C57" s="62">
        <v>3006.6666666666702</v>
      </c>
      <c r="D57" s="62">
        <v>6973.9166666666697</v>
      </c>
      <c r="E57" s="62">
        <v>14974.083333333299</v>
      </c>
      <c r="F57" s="62">
        <v>23408.333333333299</v>
      </c>
      <c r="G57" s="62">
        <v>21461.666666666701</v>
      </c>
      <c r="H57" s="62">
        <v>14191.25</v>
      </c>
      <c r="I57" s="62">
        <v>18000</v>
      </c>
      <c r="J57" s="62">
        <v>25250</v>
      </c>
      <c r="K57" s="62">
        <v>25250</v>
      </c>
      <c r="L57" s="62">
        <v>18190</v>
      </c>
      <c r="M57" s="62">
        <v>13535</v>
      </c>
      <c r="N57" s="62">
        <v>15635</v>
      </c>
      <c r="O57" s="62">
        <v>14125</v>
      </c>
      <c r="P57" s="62">
        <v>19600</v>
      </c>
      <c r="Q57" s="62"/>
      <c r="R57" s="62"/>
      <c r="S57" s="62"/>
      <c r="T57" s="903"/>
      <c r="U57" s="903"/>
      <c r="V57" s="903"/>
      <c r="W57" s="62"/>
      <c r="X57" s="62"/>
      <c r="Y57" s="62"/>
      <c r="Z57" s="62"/>
      <c r="AA57" s="62"/>
      <c r="AB57" s="62"/>
      <c r="AC57" s="9">
        <f>AVERAGE(C57:Y57)</f>
        <v>16685.77976190476</v>
      </c>
      <c r="AD57" s="63"/>
    </row>
    <row r="58" spans="2:30" ht="13" customHeight="1">
      <c r="B58" s="65" t="s">
        <v>54</v>
      </c>
      <c r="C58" s="66">
        <v>716</v>
      </c>
      <c r="D58" s="66">
        <v>6158</v>
      </c>
      <c r="E58" s="66">
        <v>11033</v>
      </c>
      <c r="F58" s="66">
        <v>10435</v>
      </c>
      <c r="G58" s="66">
        <v>2825</v>
      </c>
      <c r="H58" s="67">
        <v>-5940</v>
      </c>
      <c r="I58" s="68">
        <v>10935</v>
      </c>
      <c r="J58" s="66">
        <f t="shared" ref="J58:Y58" si="10">J13-J51</f>
        <v>1250</v>
      </c>
      <c r="K58" s="67">
        <f t="shared" si="10"/>
        <v>-6850</v>
      </c>
      <c r="L58" s="67">
        <f t="shared" si="10"/>
        <v>-3790</v>
      </c>
      <c r="M58" s="67">
        <f t="shared" si="10"/>
        <v>-4160</v>
      </c>
      <c r="N58" s="67">
        <f t="shared" si="10"/>
        <v>-5275</v>
      </c>
      <c r="O58" s="264">
        <f t="shared" si="10"/>
        <v>4730</v>
      </c>
      <c r="P58" s="67">
        <f t="shared" si="10"/>
        <v>-4475</v>
      </c>
      <c r="Q58" s="264">
        <f t="shared" si="10"/>
        <v>3550</v>
      </c>
      <c r="R58" s="67">
        <f t="shared" si="10"/>
        <v>-2180</v>
      </c>
      <c r="S58" s="264">
        <f t="shared" si="10"/>
        <v>2505</v>
      </c>
      <c r="T58" s="264">
        <f t="shared" si="10"/>
        <v>4550</v>
      </c>
      <c r="U58" s="264">
        <f t="shared" si="10"/>
        <v>4790</v>
      </c>
      <c r="V58" s="908">
        <f t="shared" si="10"/>
        <v>-1340</v>
      </c>
      <c r="W58" s="822">
        <f t="shared" si="10"/>
        <v>-8460</v>
      </c>
      <c r="X58" s="822">
        <f t="shared" si="10"/>
        <v>-4518</v>
      </c>
      <c r="Y58" s="822">
        <f t="shared" si="10"/>
        <v>-2460</v>
      </c>
      <c r="Z58" s="822"/>
      <c r="AA58" s="822"/>
      <c r="AB58" s="60">
        <f>SUM(C58:X58)</f>
        <v>16489</v>
      </c>
      <c r="AC58" s="9">
        <f>AVERAGE(C58:Y58)</f>
        <v>609.95652173913038</v>
      </c>
      <c r="AD58" s="15" t="s">
        <v>55</v>
      </c>
    </row>
    <row r="59" spans="2:30" ht="18" customHeight="1">
      <c r="C59" s="2">
        <v>2003</v>
      </c>
      <c r="D59" s="2">
        <v>2004</v>
      </c>
      <c r="E59" s="2">
        <v>2005</v>
      </c>
      <c r="F59" s="2">
        <v>2006</v>
      </c>
      <c r="G59" s="2">
        <v>2007</v>
      </c>
      <c r="H59" s="2">
        <v>2008</v>
      </c>
      <c r="I59" s="2">
        <v>2009</v>
      </c>
      <c r="J59" s="2">
        <v>2010</v>
      </c>
      <c r="K59" s="2">
        <v>2011</v>
      </c>
      <c r="L59" s="2">
        <v>2012</v>
      </c>
      <c r="M59" s="2">
        <v>2013</v>
      </c>
      <c r="N59" s="2">
        <v>2014</v>
      </c>
      <c r="O59" s="2">
        <v>2015</v>
      </c>
      <c r="P59" s="2">
        <v>2016</v>
      </c>
      <c r="Q59" s="2">
        <v>2017</v>
      </c>
      <c r="R59" s="2">
        <v>2018</v>
      </c>
      <c r="S59" s="2">
        <v>2019</v>
      </c>
      <c r="T59" s="320">
        <v>2020</v>
      </c>
      <c r="U59" s="320">
        <v>2021</v>
      </c>
      <c r="V59" s="320">
        <v>2022</v>
      </c>
      <c r="W59" s="2">
        <v>2023</v>
      </c>
      <c r="X59" s="2">
        <v>2024</v>
      </c>
      <c r="Y59" s="2">
        <v>2025</v>
      </c>
      <c r="Z59" s="2">
        <v>2026</v>
      </c>
      <c r="AA59" s="2">
        <v>2027</v>
      </c>
      <c r="AB59" s="69">
        <f>COUNTA(C59:AA59)</f>
        <v>25</v>
      </c>
      <c r="AC59" s="69" t="s">
        <v>56</v>
      </c>
    </row>
    <row r="64" spans="2:30" ht="13" customHeight="1">
      <c r="H64">
        <f>370+645+390</f>
        <v>1405</v>
      </c>
    </row>
    <row r="65" spans="8:8" ht="13" customHeight="1">
      <c r="H65">
        <f>180+165+50</f>
        <v>395</v>
      </c>
    </row>
  </sheetData>
  <pageMargins left="0.7" right="0.7" top="0.75" bottom="0.75" header="0.51180555555555496" footer="0.51180555555555496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AB429"/>
  <sheetViews>
    <sheetView showGridLines="0" topLeftCell="A181" zoomScale="110" zoomScaleNormal="110" workbookViewId="0">
      <selection activeCell="P99" sqref="P99"/>
    </sheetView>
  </sheetViews>
  <sheetFormatPr baseColWidth="10" defaultColWidth="9.1640625" defaultRowHeight="13"/>
  <cols>
    <col min="1" max="2" width="11.1640625" customWidth="1"/>
    <col min="3" max="3" width="11.5" bestFit="1" customWidth="1"/>
    <col min="4" max="4" width="12.6640625" bestFit="1" customWidth="1"/>
    <col min="5" max="5" width="12" bestFit="1" customWidth="1"/>
    <col min="6" max="6" width="11.5" bestFit="1" customWidth="1"/>
    <col min="7" max="7" width="11.1640625" customWidth="1"/>
    <col min="8" max="8" width="11.5" bestFit="1" customWidth="1"/>
    <col min="9" max="256" width="11.1640625" customWidth="1"/>
  </cols>
  <sheetData>
    <row r="5" spans="2:28" s="75" customFormat="1" ht="12" customHeight="1">
      <c r="C5" s="76">
        <v>1991</v>
      </c>
      <c r="D5" s="77">
        <v>1992</v>
      </c>
      <c r="E5" s="76">
        <v>1993</v>
      </c>
      <c r="F5" s="77">
        <v>1994</v>
      </c>
      <c r="G5" s="76">
        <v>1995</v>
      </c>
      <c r="H5" s="77">
        <v>1996</v>
      </c>
      <c r="I5" s="76">
        <v>1997</v>
      </c>
      <c r="J5" s="77">
        <v>1998</v>
      </c>
      <c r="K5" s="76">
        <v>1999</v>
      </c>
      <c r="L5" s="77">
        <v>2000</v>
      </c>
      <c r="M5" s="76">
        <v>2001</v>
      </c>
      <c r="N5" s="77">
        <v>2002</v>
      </c>
      <c r="O5" s="76">
        <v>2003</v>
      </c>
      <c r="P5" s="77">
        <v>2004</v>
      </c>
      <c r="Q5" s="76">
        <v>2005</v>
      </c>
      <c r="R5" s="77">
        <v>2006</v>
      </c>
      <c r="S5" s="76">
        <v>2007</v>
      </c>
      <c r="T5" s="77">
        <v>2008</v>
      </c>
      <c r="U5" s="76">
        <v>2009</v>
      </c>
      <c r="V5" s="77">
        <v>2010</v>
      </c>
      <c r="W5" s="76">
        <v>2011</v>
      </c>
      <c r="X5" s="77">
        <v>2012</v>
      </c>
      <c r="Y5" s="76">
        <v>2013</v>
      </c>
      <c r="Z5" s="77">
        <v>2014</v>
      </c>
      <c r="AA5" s="76">
        <v>2015</v>
      </c>
    </row>
    <row r="6" spans="2:28" ht="16" customHeight="1">
      <c r="B6" s="78" t="s">
        <v>65</v>
      </c>
      <c r="C6" s="79">
        <v>5190.9399999999996</v>
      </c>
      <c r="D6" s="80">
        <v>4297.24</v>
      </c>
      <c r="E6" s="79">
        <v>5736.06</v>
      </c>
      <c r="F6" s="80">
        <v>9315.69</v>
      </c>
      <c r="G6" s="79">
        <v>9934.73</v>
      </c>
      <c r="H6" s="80">
        <v>12278.68</v>
      </c>
      <c r="I6" s="79">
        <v>12278.68</v>
      </c>
      <c r="J6" s="80">
        <v>11629.58</v>
      </c>
      <c r="K6" s="79">
        <v>14123.78</v>
      </c>
      <c r="L6" s="80">
        <v>13522.77</v>
      </c>
      <c r="M6" s="81">
        <v>16236</v>
      </c>
      <c r="N6" s="82">
        <v>20900</v>
      </c>
      <c r="O6" s="81">
        <v>25595</v>
      </c>
      <c r="P6" s="82">
        <v>29655</v>
      </c>
      <c r="Q6" s="81">
        <v>38875</v>
      </c>
      <c r="R6" s="82">
        <v>34850</v>
      </c>
      <c r="S6" s="81">
        <v>26575</v>
      </c>
      <c r="T6" s="82">
        <v>26700</v>
      </c>
      <c r="U6" s="81">
        <v>56950</v>
      </c>
      <c r="V6" s="82">
        <v>41080</v>
      </c>
      <c r="W6" s="81">
        <v>19720</v>
      </c>
      <c r="X6" s="82">
        <v>24845</v>
      </c>
      <c r="Y6" s="81">
        <v>25875</v>
      </c>
      <c r="Z6" s="82">
        <v>27865</v>
      </c>
      <c r="AA6" s="81">
        <v>29035</v>
      </c>
      <c r="AB6" s="394" t="s">
        <v>65</v>
      </c>
    </row>
    <row r="7" spans="2:28" ht="16" customHeight="1">
      <c r="B7" s="78" t="s">
        <v>67</v>
      </c>
      <c r="C7" s="79">
        <v>5339.99</v>
      </c>
      <c r="D7" s="80">
        <v>4318.2700000000004</v>
      </c>
      <c r="E7" s="79">
        <v>4946.33</v>
      </c>
      <c r="F7" s="80">
        <v>9177.4500000000007</v>
      </c>
      <c r="G7" s="79">
        <v>10920.39</v>
      </c>
      <c r="H7" s="80">
        <v>11467.31</v>
      </c>
      <c r="I7" s="79">
        <v>12218.58</v>
      </c>
      <c r="J7" s="80">
        <v>11719.74</v>
      </c>
      <c r="K7" s="79">
        <v>14328.13</v>
      </c>
      <c r="L7" s="80">
        <v>14003.58</v>
      </c>
      <c r="M7" s="81">
        <v>14997</v>
      </c>
      <c r="N7" s="82">
        <v>19500</v>
      </c>
      <c r="O7" s="81">
        <v>21996</v>
      </c>
      <c r="P7" s="82">
        <v>19294</v>
      </c>
      <c r="Q7" s="81">
        <v>27015</v>
      </c>
      <c r="R7" s="82">
        <v>23585</v>
      </c>
      <c r="S7" s="81">
        <v>23200</v>
      </c>
      <c r="T7" s="82">
        <v>29780</v>
      </c>
      <c r="U7" s="81">
        <v>44265</v>
      </c>
      <c r="V7" s="82">
        <v>39830</v>
      </c>
      <c r="W7" s="81">
        <v>26570</v>
      </c>
      <c r="X7" s="82">
        <v>28635</v>
      </c>
      <c r="Y7" s="81">
        <v>30135</v>
      </c>
      <c r="Z7" s="82">
        <v>33140</v>
      </c>
      <c r="AA7" s="81">
        <v>24200</v>
      </c>
      <c r="AB7" s="394" t="s">
        <v>67</v>
      </c>
    </row>
    <row r="8" spans="2:28">
      <c r="C8" s="823">
        <f t="shared" ref="C8:AA8" si="0">C6-C7</f>
        <v>-149.05000000000018</v>
      </c>
      <c r="D8" s="823">
        <f t="shared" si="0"/>
        <v>-21.030000000000655</v>
      </c>
      <c r="E8" s="823">
        <f t="shared" si="0"/>
        <v>789.73000000000047</v>
      </c>
      <c r="F8" s="823">
        <f t="shared" si="0"/>
        <v>138.23999999999978</v>
      </c>
      <c r="G8" s="823">
        <f t="shared" si="0"/>
        <v>-985.65999999999985</v>
      </c>
      <c r="H8" s="823">
        <f t="shared" si="0"/>
        <v>811.3700000000008</v>
      </c>
      <c r="I8" s="823">
        <f t="shared" si="0"/>
        <v>60.100000000000364</v>
      </c>
      <c r="J8" s="823">
        <f t="shared" si="0"/>
        <v>-90.159999999999854</v>
      </c>
      <c r="K8" s="823">
        <f t="shared" si="0"/>
        <v>-204.34999999999854</v>
      </c>
      <c r="L8" s="823">
        <f t="shared" si="0"/>
        <v>-480.80999999999949</v>
      </c>
      <c r="M8" s="823">
        <f t="shared" si="0"/>
        <v>1239</v>
      </c>
      <c r="N8" s="823">
        <f t="shared" si="0"/>
        <v>1400</v>
      </c>
      <c r="O8" s="823">
        <f t="shared" si="0"/>
        <v>3599</v>
      </c>
      <c r="P8" s="823">
        <f t="shared" si="0"/>
        <v>10361</v>
      </c>
      <c r="Q8" s="823">
        <f t="shared" si="0"/>
        <v>11860</v>
      </c>
      <c r="R8" s="823">
        <f t="shared" si="0"/>
        <v>11265</v>
      </c>
      <c r="S8" s="823">
        <f t="shared" si="0"/>
        <v>3375</v>
      </c>
      <c r="T8" s="823">
        <f t="shared" si="0"/>
        <v>-3080</v>
      </c>
      <c r="U8" s="823">
        <f t="shared" si="0"/>
        <v>12685</v>
      </c>
      <c r="V8" s="823">
        <f t="shared" si="0"/>
        <v>1250</v>
      </c>
      <c r="W8" s="823">
        <f t="shared" si="0"/>
        <v>-6850</v>
      </c>
      <c r="X8" s="823">
        <f t="shared" si="0"/>
        <v>-3790</v>
      </c>
      <c r="Y8" s="823">
        <f t="shared" si="0"/>
        <v>-4260</v>
      </c>
      <c r="Z8" s="823">
        <f t="shared" si="0"/>
        <v>-5275</v>
      </c>
      <c r="AA8" s="823">
        <f t="shared" si="0"/>
        <v>4835</v>
      </c>
    </row>
    <row r="10" spans="2:28">
      <c r="M10" s="266">
        <v>2016</v>
      </c>
      <c r="N10" s="76">
        <v>2017</v>
      </c>
      <c r="O10" s="266">
        <v>2018</v>
      </c>
      <c r="P10" s="76">
        <v>2019</v>
      </c>
      <c r="Q10" s="266">
        <v>2020</v>
      </c>
      <c r="R10" s="76">
        <v>2021</v>
      </c>
      <c r="S10" s="266">
        <v>2022</v>
      </c>
      <c r="T10" s="76">
        <v>2023</v>
      </c>
      <c r="U10" s="266">
        <v>2024</v>
      </c>
      <c r="V10" s="76">
        <v>2025</v>
      </c>
      <c r="W10" s="266">
        <v>2026</v>
      </c>
      <c r="X10" s="76">
        <v>2027</v>
      </c>
      <c r="Y10" s="266">
        <v>2028</v>
      </c>
      <c r="Z10" s="76">
        <v>2029</v>
      </c>
      <c r="AA10" s="266">
        <v>2030</v>
      </c>
    </row>
    <row r="11" spans="2:28">
      <c r="C11" s="1003"/>
      <c r="D11" s="1004" t="s">
        <v>213</v>
      </c>
      <c r="E11" s="1005">
        <f>SUM(C6:AA6)+SUM(M11:AA11)</f>
        <v>902969.15</v>
      </c>
      <c r="F11" s="1003"/>
      <c r="G11" s="1004" t="s">
        <v>214</v>
      </c>
      <c r="H11" s="1006">
        <f>E11-E12</f>
        <v>30207.380000000005</v>
      </c>
      <c r="M11" s="82">
        <v>31595</v>
      </c>
      <c r="N11" s="81">
        <v>31265</v>
      </c>
      <c r="O11" s="82">
        <v>31750</v>
      </c>
      <c r="P11" s="81">
        <v>31575</v>
      </c>
      <c r="Q11" s="82">
        <v>32245</v>
      </c>
      <c r="R11" s="81">
        <v>35815</v>
      </c>
      <c r="S11" s="82">
        <v>37330</v>
      </c>
      <c r="T11" s="81">
        <v>37980</v>
      </c>
      <c r="U11" s="82">
        <v>44150</v>
      </c>
      <c r="V11" s="81">
        <v>46200</v>
      </c>
      <c r="W11" s="82"/>
      <c r="X11" s="81"/>
      <c r="Y11" s="82"/>
      <c r="Z11" s="81"/>
      <c r="AA11" s="82"/>
      <c r="AB11" s="394" t="s">
        <v>65</v>
      </c>
    </row>
    <row r="12" spans="2:28">
      <c r="C12" s="1003"/>
      <c r="D12" s="1004" t="s">
        <v>215</v>
      </c>
      <c r="E12" s="1005">
        <f>SUM(C7:AA7)+SUM(M12:AA12)</f>
        <v>872761.77</v>
      </c>
      <c r="F12" s="1003"/>
      <c r="G12" s="1003"/>
      <c r="H12" s="1003"/>
      <c r="M12" s="82">
        <v>36075</v>
      </c>
      <c r="N12" s="81">
        <v>27740</v>
      </c>
      <c r="O12" s="82">
        <v>34135</v>
      </c>
      <c r="P12" s="81">
        <v>29100</v>
      </c>
      <c r="Q12" s="82">
        <v>27695</v>
      </c>
      <c r="R12" s="81">
        <v>31025</v>
      </c>
      <c r="S12" s="82">
        <v>38670</v>
      </c>
      <c r="T12" s="81">
        <v>46435</v>
      </c>
      <c r="U12" s="82">
        <v>48705</v>
      </c>
      <c r="V12" s="81">
        <v>48600</v>
      </c>
      <c r="W12" s="82"/>
      <c r="X12" s="81"/>
      <c r="Y12" s="82"/>
      <c r="Z12" s="81"/>
      <c r="AA12" s="82"/>
      <c r="AB12" s="394" t="s">
        <v>67</v>
      </c>
    </row>
    <row r="13" spans="2:28">
      <c r="M13" s="823">
        <f t="shared" ref="M13:V13" si="1">M11-M12</f>
        <v>-4480</v>
      </c>
      <c r="N13" s="823">
        <f t="shared" si="1"/>
        <v>3525</v>
      </c>
      <c r="O13" s="823">
        <f t="shared" si="1"/>
        <v>-2385</v>
      </c>
      <c r="P13" s="823">
        <f t="shared" si="1"/>
        <v>2475</v>
      </c>
      <c r="Q13" s="823">
        <f t="shared" si="1"/>
        <v>4550</v>
      </c>
      <c r="R13" s="823">
        <f t="shared" si="1"/>
        <v>4790</v>
      </c>
      <c r="S13" s="823">
        <f t="shared" si="1"/>
        <v>-1340</v>
      </c>
      <c r="T13" s="823">
        <f t="shared" si="1"/>
        <v>-8455</v>
      </c>
      <c r="U13" s="823">
        <f t="shared" si="1"/>
        <v>-4555</v>
      </c>
      <c r="V13" s="823">
        <f t="shared" si="1"/>
        <v>-2400</v>
      </c>
      <c r="W13" s="823"/>
      <c r="X13" s="823"/>
      <c r="Y13" s="823"/>
      <c r="Z13" s="823"/>
      <c r="AA13" s="823"/>
    </row>
    <row r="43" spans="1:15" ht="16" customHeight="1">
      <c r="C43" s="83" t="s">
        <v>65</v>
      </c>
      <c r="D43" s="83" t="s">
        <v>67</v>
      </c>
    </row>
    <row r="44" spans="1:15">
      <c r="A44">
        <v>1991</v>
      </c>
      <c r="B44" s="273" t="s">
        <v>216</v>
      </c>
      <c r="C44" s="85">
        <v>325</v>
      </c>
      <c r="D44" s="85">
        <v>335</v>
      </c>
      <c r="E44" s="989">
        <f t="shared" ref="E44:E107" si="2">C44-D44</f>
        <v>-10</v>
      </c>
    </row>
    <row r="45" spans="1:15" ht="26" customHeight="1">
      <c r="B45" s="84" t="s">
        <v>164</v>
      </c>
      <c r="C45" s="85">
        <v>0</v>
      </c>
      <c r="D45" s="85">
        <v>405</v>
      </c>
      <c r="E45" s="989">
        <f t="shared" si="2"/>
        <v>-405</v>
      </c>
      <c r="H45" s="379">
        <v>2020</v>
      </c>
    </row>
    <row r="46" spans="1:15" ht="17" customHeight="1">
      <c r="B46" s="84" t="s">
        <v>165</v>
      </c>
      <c r="C46" s="85">
        <v>1085</v>
      </c>
      <c r="D46" s="85">
        <v>450</v>
      </c>
      <c r="E46" s="989">
        <f t="shared" si="2"/>
        <v>635</v>
      </c>
      <c r="H46" s="380" t="s">
        <v>217</v>
      </c>
      <c r="I46" s="380" t="s">
        <v>76</v>
      </c>
      <c r="J46" s="380" t="s">
        <v>218</v>
      </c>
      <c r="K46" s="380" t="s">
        <v>219</v>
      </c>
      <c r="L46" s="380" t="s">
        <v>220</v>
      </c>
      <c r="M46" s="380" t="s">
        <v>221</v>
      </c>
      <c r="N46" s="380" t="s">
        <v>222</v>
      </c>
    </row>
    <row r="47" spans="1:15" ht="15" customHeight="1">
      <c r="B47" s="84" t="s">
        <v>166</v>
      </c>
      <c r="C47" s="85">
        <v>545</v>
      </c>
      <c r="D47" s="85">
        <v>220</v>
      </c>
      <c r="E47" s="989">
        <f t="shared" si="2"/>
        <v>325</v>
      </c>
      <c r="H47" s="381" t="s">
        <v>92</v>
      </c>
      <c r="I47" s="386">
        <v>27000</v>
      </c>
      <c r="J47" s="386">
        <v>26500</v>
      </c>
      <c r="K47" s="386">
        <v>28500</v>
      </c>
      <c r="L47" s="386">
        <v>28500</v>
      </c>
      <c r="M47" s="386">
        <v>31500</v>
      </c>
      <c r="N47" s="386">
        <v>32500</v>
      </c>
      <c r="O47" s="805">
        <f>N47/$N$51</f>
        <v>0.5678839769351739</v>
      </c>
    </row>
    <row r="48" spans="1:15" ht="15" customHeight="1">
      <c r="B48" s="84" t="s">
        <v>167</v>
      </c>
      <c r="C48" s="85">
        <v>545</v>
      </c>
      <c r="D48" s="85">
        <v>430</v>
      </c>
      <c r="E48" s="989">
        <f t="shared" si="2"/>
        <v>115</v>
      </c>
      <c r="H48" s="381" t="s">
        <v>223</v>
      </c>
      <c r="I48" s="386">
        <v>8900</v>
      </c>
      <c r="J48" s="386">
        <v>8950</v>
      </c>
      <c r="K48" s="386">
        <v>9000</v>
      </c>
      <c r="L48" s="386">
        <v>9050</v>
      </c>
      <c r="M48" s="386">
        <v>9150</v>
      </c>
      <c r="N48" s="386">
        <v>9230</v>
      </c>
      <c r="O48" s="805">
        <f>N48/$N$51</f>
        <v>0.16127904944958937</v>
      </c>
    </row>
    <row r="49" spans="1:15" ht="15" customHeight="1">
      <c r="B49" s="84" t="s">
        <v>168</v>
      </c>
      <c r="C49" s="85">
        <v>545</v>
      </c>
      <c r="D49" s="85">
        <v>425</v>
      </c>
      <c r="E49" s="989">
        <f t="shared" si="2"/>
        <v>120</v>
      </c>
      <c r="H49" s="381" t="s">
        <v>224</v>
      </c>
      <c r="I49" s="386">
        <v>13750</v>
      </c>
      <c r="J49" s="386">
        <v>13700</v>
      </c>
      <c r="K49" s="386">
        <v>13500</v>
      </c>
      <c r="L49" s="386">
        <v>13950</v>
      </c>
      <c r="M49" s="386">
        <v>14675</v>
      </c>
      <c r="N49" s="386">
        <v>15500</v>
      </c>
      <c r="O49" s="805">
        <f>N49/$N$51</f>
        <v>0.27083697361523679</v>
      </c>
    </row>
    <row r="50" spans="1:15" ht="14" customHeight="1">
      <c r="B50" s="84" t="s">
        <v>169</v>
      </c>
      <c r="C50" s="85">
        <v>545</v>
      </c>
      <c r="D50" s="85">
        <v>360</v>
      </c>
      <c r="E50" s="989">
        <f t="shared" si="2"/>
        <v>185</v>
      </c>
      <c r="H50" s="383"/>
      <c r="O50" s="805"/>
    </row>
    <row r="51" spans="1:15" ht="17" customHeight="1">
      <c r="B51" s="84" t="s">
        <v>170</v>
      </c>
      <c r="C51" s="85">
        <v>545</v>
      </c>
      <c r="D51" s="85">
        <v>735</v>
      </c>
      <c r="E51" s="989">
        <f t="shared" si="2"/>
        <v>-190</v>
      </c>
      <c r="H51" s="384" t="s">
        <v>225</v>
      </c>
      <c r="I51" s="385">
        <v>49650</v>
      </c>
      <c r="J51" s="385">
        <v>49150</v>
      </c>
      <c r="K51" s="385">
        <v>51000</v>
      </c>
      <c r="L51" s="385">
        <v>51500</v>
      </c>
      <c r="M51" s="385">
        <v>55325</v>
      </c>
      <c r="N51" s="385">
        <v>57230</v>
      </c>
    </row>
    <row r="52" spans="1:15" ht="26" customHeight="1">
      <c r="B52" s="84" t="s">
        <v>171</v>
      </c>
      <c r="C52" s="85">
        <v>545</v>
      </c>
      <c r="D52" s="85">
        <v>665</v>
      </c>
      <c r="E52" s="989">
        <f t="shared" si="2"/>
        <v>-120</v>
      </c>
      <c r="H52" s="379">
        <v>2021</v>
      </c>
    </row>
    <row r="53" spans="1:15" ht="17" customHeight="1">
      <c r="B53" s="84" t="s">
        <v>172</v>
      </c>
      <c r="C53" s="85">
        <v>545</v>
      </c>
      <c r="D53" s="85">
        <v>1355</v>
      </c>
      <c r="E53" s="989">
        <f t="shared" si="2"/>
        <v>-810</v>
      </c>
      <c r="H53" s="380" t="s">
        <v>217</v>
      </c>
      <c r="I53" s="380" t="s">
        <v>76</v>
      </c>
      <c r="J53" s="380" t="s">
        <v>218</v>
      </c>
      <c r="K53" s="380" t="s">
        <v>219</v>
      </c>
      <c r="L53" s="380" t="s">
        <v>220</v>
      </c>
      <c r="M53" s="380" t="s">
        <v>221</v>
      </c>
      <c r="N53" s="380" t="s">
        <v>222</v>
      </c>
    </row>
    <row r="54" spans="1:15" ht="15" customHeight="1">
      <c r="B54" s="84" t="s">
        <v>173</v>
      </c>
      <c r="C54" s="85">
        <v>0</v>
      </c>
      <c r="D54" s="85">
        <v>175</v>
      </c>
      <c r="E54" s="989">
        <f t="shared" si="2"/>
        <v>-175</v>
      </c>
      <c r="H54" s="381" t="s">
        <v>92</v>
      </c>
      <c r="I54" s="382">
        <v>36000</v>
      </c>
      <c r="J54" s="382">
        <v>37000</v>
      </c>
      <c r="K54" s="382">
        <v>49000</v>
      </c>
      <c r="L54" s="382">
        <v>50000</v>
      </c>
      <c r="M54" s="382">
        <v>49000</v>
      </c>
      <c r="N54" s="382">
        <v>47350</v>
      </c>
      <c r="O54" s="805">
        <f>N54/$N$58</f>
        <v>0.73410852713178298</v>
      </c>
    </row>
    <row r="55" spans="1:15" ht="15" customHeight="1">
      <c r="B55" s="84" t="s">
        <v>174</v>
      </c>
      <c r="C55" s="85">
        <v>0</v>
      </c>
      <c r="D55" s="85">
        <v>25</v>
      </c>
      <c r="E55" s="989">
        <f t="shared" si="2"/>
        <v>-25</v>
      </c>
      <c r="H55" s="381" t="s">
        <v>223</v>
      </c>
      <c r="I55" s="382">
        <v>10000</v>
      </c>
      <c r="J55" s="382">
        <v>10075</v>
      </c>
      <c r="K55" s="382" t="s">
        <v>226</v>
      </c>
      <c r="L55" s="382" t="s">
        <v>226</v>
      </c>
      <c r="M55" s="382" t="s">
        <v>226</v>
      </c>
      <c r="N55" s="382" t="s">
        <v>226</v>
      </c>
      <c r="O55" s="811" t="s">
        <v>226</v>
      </c>
    </row>
    <row r="56" spans="1:15" ht="15" customHeight="1">
      <c r="A56">
        <v>1992</v>
      </c>
      <c r="B56" s="274" t="s">
        <v>227</v>
      </c>
      <c r="C56" s="87">
        <v>305</v>
      </c>
      <c r="D56" s="87">
        <v>125</v>
      </c>
      <c r="E56" s="989">
        <f t="shared" si="2"/>
        <v>180</v>
      </c>
      <c r="H56" s="381" t="s">
        <v>224</v>
      </c>
      <c r="I56" s="382">
        <v>16000</v>
      </c>
      <c r="J56" s="382">
        <v>15750</v>
      </c>
      <c r="K56" s="382">
        <v>16400</v>
      </c>
      <c r="L56" s="382">
        <v>16375</v>
      </c>
      <c r="M56" s="382">
        <v>17000</v>
      </c>
      <c r="N56" s="382">
        <v>17250</v>
      </c>
      <c r="O56" s="805">
        <f>N56/$N$58</f>
        <v>0.26744186046511625</v>
      </c>
    </row>
    <row r="57" spans="1:15" ht="14" customHeight="1">
      <c r="B57" s="86" t="s">
        <v>164</v>
      </c>
      <c r="C57" s="87">
        <v>0</v>
      </c>
      <c r="D57" s="87">
        <v>50</v>
      </c>
      <c r="E57" s="989">
        <f t="shared" si="2"/>
        <v>-50</v>
      </c>
      <c r="H57" s="383"/>
    </row>
    <row r="58" spans="1:15" ht="17" customHeight="1">
      <c r="B58" s="86" t="s">
        <v>165</v>
      </c>
      <c r="C58" s="87">
        <v>170</v>
      </c>
      <c r="D58" s="87">
        <v>245</v>
      </c>
      <c r="E58" s="989">
        <f t="shared" si="2"/>
        <v>-75</v>
      </c>
      <c r="H58" s="384" t="s">
        <v>225</v>
      </c>
      <c r="I58" s="385">
        <v>62000</v>
      </c>
      <c r="J58" s="385">
        <v>62825</v>
      </c>
      <c r="K58" s="385">
        <v>65400</v>
      </c>
      <c r="L58" s="385">
        <v>66375</v>
      </c>
      <c r="M58" s="385">
        <v>66000</v>
      </c>
      <c r="N58" s="385">
        <v>64500</v>
      </c>
    </row>
    <row r="59" spans="1:15" ht="26" customHeight="1">
      <c r="B59" s="86" t="s">
        <v>166</v>
      </c>
      <c r="C59" s="87">
        <v>270</v>
      </c>
      <c r="D59" s="87">
        <v>315</v>
      </c>
      <c r="E59" s="989">
        <f t="shared" si="2"/>
        <v>-45</v>
      </c>
      <c r="H59" s="379">
        <v>2022</v>
      </c>
    </row>
    <row r="60" spans="1:15" ht="17" customHeight="1">
      <c r="B60" s="86" t="s">
        <v>167</v>
      </c>
      <c r="C60" s="87">
        <v>270</v>
      </c>
      <c r="D60" s="87">
        <v>150</v>
      </c>
      <c r="E60" s="989">
        <f t="shared" si="2"/>
        <v>120</v>
      </c>
      <c r="H60" s="380" t="s">
        <v>217</v>
      </c>
      <c r="I60" s="380" t="s">
        <v>76</v>
      </c>
      <c r="J60" s="380" t="s">
        <v>218</v>
      </c>
      <c r="K60" s="380" t="s">
        <v>219</v>
      </c>
      <c r="L60" s="380" t="s">
        <v>220</v>
      </c>
      <c r="M60" s="380" t="s">
        <v>221</v>
      </c>
      <c r="N60" s="380" t="s">
        <v>222</v>
      </c>
    </row>
    <row r="61" spans="1:15" ht="15" customHeight="1">
      <c r="B61" s="86" t="s">
        <v>168</v>
      </c>
      <c r="C61" s="87">
        <v>270</v>
      </c>
      <c r="D61" s="87">
        <v>240</v>
      </c>
      <c r="E61" s="989">
        <f t="shared" si="2"/>
        <v>30</v>
      </c>
      <c r="H61" s="381" t="s">
        <v>92</v>
      </c>
      <c r="I61" s="382">
        <v>48000</v>
      </c>
      <c r="J61" s="382">
        <v>41750</v>
      </c>
      <c r="K61" s="382">
        <v>50000</v>
      </c>
      <c r="L61" s="382">
        <v>50700</v>
      </c>
      <c r="M61" s="382">
        <v>47000</v>
      </c>
      <c r="N61" s="382">
        <v>46000</v>
      </c>
      <c r="O61" s="805">
        <f>N61/$N$65</f>
        <v>0.69355446664153786</v>
      </c>
    </row>
    <row r="62" spans="1:15" ht="15" customHeight="1">
      <c r="B62" s="86" t="s">
        <v>169</v>
      </c>
      <c r="C62" s="87">
        <v>450</v>
      </c>
      <c r="D62" s="87">
        <v>275</v>
      </c>
      <c r="E62" s="989">
        <f t="shared" si="2"/>
        <v>175</v>
      </c>
      <c r="H62" s="381" t="s">
        <v>228</v>
      </c>
      <c r="I62" s="382">
        <v>18115</v>
      </c>
      <c r="J62" s="382">
        <v>16450</v>
      </c>
      <c r="K62" s="382">
        <v>15000</v>
      </c>
      <c r="L62" s="382">
        <v>15000</v>
      </c>
      <c r="M62" s="382">
        <v>14750</v>
      </c>
      <c r="N62" s="382">
        <v>16550</v>
      </c>
      <c r="O62" s="805">
        <f>N62/$N$65</f>
        <v>0.24952883528081418</v>
      </c>
    </row>
    <row r="63" spans="1:15" ht="15" customHeight="1">
      <c r="B63" s="86" t="s">
        <v>170</v>
      </c>
      <c r="C63" s="87">
        <v>1490</v>
      </c>
      <c r="D63" s="87">
        <v>695</v>
      </c>
      <c r="E63" s="989">
        <f t="shared" si="2"/>
        <v>795</v>
      </c>
      <c r="H63" s="381" t="s">
        <v>229</v>
      </c>
      <c r="I63" s="382" t="s">
        <v>226</v>
      </c>
      <c r="J63" s="382" t="s">
        <v>226</v>
      </c>
      <c r="K63" s="382" t="s">
        <v>226</v>
      </c>
      <c r="L63" s="382" t="s">
        <v>226</v>
      </c>
      <c r="M63" s="382">
        <v>3300</v>
      </c>
      <c r="N63" s="382">
        <v>3775</v>
      </c>
      <c r="O63" s="805">
        <f>N63/$N$65</f>
        <v>5.6916698077647945E-2</v>
      </c>
    </row>
    <row r="64" spans="1:15" ht="14" customHeight="1">
      <c r="B64" s="86" t="s">
        <v>171</v>
      </c>
      <c r="C64" s="87">
        <v>0</v>
      </c>
      <c r="D64" s="87">
        <v>600</v>
      </c>
      <c r="E64" s="989">
        <f t="shared" si="2"/>
        <v>-600</v>
      </c>
      <c r="H64" s="383"/>
    </row>
    <row r="65" spans="1:15" ht="17" customHeight="1">
      <c r="B65" s="86" t="s">
        <v>172</v>
      </c>
      <c r="C65" s="87">
        <v>365</v>
      </c>
      <c r="D65" s="87">
        <v>775</v>
      </c>
      <c r="E65" s="989">
        <f t="shared" si="2"/>
        <v>-410</v>
      </c>
      <c r="H65" s="384" t="s">
        <v>225</v>
      </c>
      <c r="I65" s="385">
        <f t="shared" ref="I65:N65" si="3">SUM(I61:I63)</f>
        <v>66115</v>
      </c>
      <c r="J65" s="385">
        <f t="shared" si="3"/>
        <v>58200</v>
      </c>
      <c r="K65" s="385">
        <f t="shared" si="3"/>
        <v>65000</v>
      </c>
      <c r="L65" s="385">
        <f t="shared" si="3"/>
        <v>65700</v>
      </c>
      <c r="M65" s="385">
        <f t="shared" si="3"/>
        <v>65050</v>
      </c>
      <c r="N65" s="385">
        <f t="shared" si="3"/>
        <v>66325</v>
      </c>
    </row>
    <row r="66" spans="1:15" ht="26" customHeight="1">
      <c r="B66" s="86" t="s">
        <v>173</v>
      </c>
      <c r="C66" s="87">
        <v>365</v>
      </c>
      <c r="D66" s="87">
        <v>535</v>
      </c>
      <c r="E66" s="989">
        <f t="shared" si="2"/>
        <v>-170</v>
      </c>
      <c r="H66" s="379">
        <v>2023</v>
      </c>
    </row>
    <row r="67" spans="1:15" ht="17" customHeight="1">
      <c r="B67" s="86" t="s">
        <v>174</v>
      </c>
      <c r="C67" s="87">
        <v>365</v>
      </c>
      <c r="D67" s="87">
        <v>330</v>
      </c>
      <c r="E67" s="989">
        <f t="shared" si="2"/>
        <v>35</v>
      </c>
      <c r="H67" s="380" t="s">
        <v>217</v>
      </c>
      <c r="I67" s="380" t="s">
        <v>76</v>
      </c>
      <c r="J67" s="380" t="s">
        <v>218</v>
      </c>
      <c r="K67" s="380" t="s">
        <v>219</v>
      </c>
      <c r="L67" s="380" t="s">
        <v>220</v>
      </c>
      <c r="M67" s="380" t="s">
        <v>221</v>
      </c>
      <c r="N67" s="380" t="s">
        <v>222</v>
      </c>
    </row>
    <row r="68" spans="1:15" ht="15" customHeight="1">
      <c r="A68">
        <v>1993</v>
      </c>
      <c r="B68" s="275" t="s">
        <v>230</v>
      </c>
      <c r="C68" s="85">
        <v>365</v>
      </c>
      <c r="D68" s="85">
        <v>320</v>
      </c>
      <c r="E68" s="989">
        <f t="shared" si="2"/>
        <v>45</v>
      </c>
      <c r="H68" s="381" t="s">
        <v>92</v>
      </c>
      <c r="I68" s="382">
        <v>47000</v>
      </c>
      <c r="J68" s="382">
        <v>37695</v>
      </c>
      <c r="K68" s="382">
        <v>42000</v>
      </c>
      <c r="L68" s="382">
        <v>41750</v>
      </c>
      <c r="M68" s="382">
        <v>41870</v>
      </c>
      <c r="N68" s="382">
        <v>39500</v>
      </c>
      <c r="O68" s="805">
        <f>N68/$N$72</f>
        <v>0.5716353111432706</v>
      </c>
    </row>
    <row r="69" spans="1:15" ht="15" customHeight="1">
      <c r="B69" s="84" t="s">
        <v>164</v>
      </c>
      <c r="C69" s="85">
        <v>365</v>
      </c>
      <c r="D69" s="85">
        <v>300</v>
      </c>
      <c r="E69" s="989">
        <f t="shared" si="2"/>
        <v>65</v>
      </c>
      <c r="H69" s="381" t="s">
        <v>228</v>
      </c>
      <c r="I69" s="382">
        <v>16125</v>
      </c>
      <c r="J69" s="382">
        <v>16750</v>
      </c>
      <c r="K69" s="382">
        <v>16325</v>
      </c>
      <c r="L69" s="382">
        <v>17540</v>
      </c>
      <c r="M69" s="382">
        <v>17300</v>
      </c>
      <c r="N69" s="382">
        <v>18175</v>
      </c>
      <c r="O69" s="805">
        <f>N69/$N$72</f>
        <v>0.26302460202604921</v>
      </c>
    </row>
    <row r="70" spans="1:15" ht="15" customHeight="1">
      <c r="B70" s="84" t="s">
        <v>165</v>
      </c>
      <c r="C70" s="85">
        <v>365</v>
      </c>
      <c r="D70" s="85">
        <v>365</v>
      </c>
      <c r="E70" s="989">
        <f t="shared" si="2"/>
        <v>0</v>
      </c>
      <c r="H70" s="381" t="s">
        <v>229</v>
      </c>
      <c r="I70" s="382">
        <v>4750</v>
      </c>
      <c r="J70" s="382">
        <v>5595</v>
      </c>
      <c r="K70" s="382">
        <v>7925</v>
      </c>
      <c r="L70" s="382">
        <v>8170</v>
      </c>
      <c r="M70" s="382">
        <v>10250</v>
      </c>
      <c r="N70" s="382">
        <v>11425</v>
      </c>
      <c r="O70" s="805">
        <f>N70/$N$72</f>
        <v>0.16534008683068016</v>
      </c>
    </row>
    <row r="71" spans="1:15" ht="14" customHeight="1">
      <c r="B71" s="84" t="s">
        <v>166</v>
      </c>
      <c r="C71" s="85">
        <v>365</v>
      </c>
      <c r="D71" s="85">
        <v>365</v>
      </c>
      <c r="E71" s="989">
        <f t="shared" si="2"/>
        <v>0</v>
      </c>
      <c r="H71" s="383"/>
      <c r="O71" s="805"/>
    </row>
    <row r="72" spans="1:15" ht="17" customHeight="1">
      <c r="B72" s="84" t="s">
        <v>167</v>
      </c>
      <c r="C72" s="85">
        <v>365</v>
      </c>
      <c r="D72" s="85">
        <v>345</v>
      </c>
      <c r="E72" s="989">
        <f t="shared" si="2"/>
        <v>20</v>
      </c>
      <c r="H72" s="384" t="s">
        <v>225</v>
      </c>
      <c r="I72" s="385">
        <f t="shared" ref="I72:N72" si="4">SUM(I68:I70)</f>
        <v>67875</v>
      </c>
      <c r="J72" s="385">
        <f t="shared" si="4"/>
        <v>60040</v>
      </c>
      <c r="K72" s="385">
        <f t="shared" si="4"/>
        <v>66250</v>
      </c>
      <c r="L72" s="385">
        <f t="shared" si="4"/>
        <v>67460</v>
      </c>
      <c r="M72" s="385">
        <f t="shared" si="4"/>
        <v>69420</v>
      </c>
      <c r="N72" s="385">
        <f t="shared" si="4"/>
        <v>69100</v>
      </c>
    </row>
    <row r="73" spans="1:15">
      <c r="B73" s="84" t="s">
        <v>168</v>
      </c>
      <c r="C73" s="85">
        <v>1870</v>
      </c>
      <c r="D73" s="85">
        <v>195</v>
      </c>
      <c r="E73" s="989">
        <f t="shared" si="2"/>
        <v>1675</v>
      </c>
    </row>
    <row r="74" spans="1:15" ht="26" customHeight="1">
      <c r="B74" s="84" t="s">
        <v>169</v>
      </c>
      <c r="C74" s="85">
        <v>365</v>
      </c>
      <c r="D74" s="85">
        <v>515</v>
      </c>
      <c r="E74" s="989">
        <f t="shared" si="2"/>
        <v>-150</v>
      </c>
      <c r="H74" s="379">
        <v>2024</v>
      </c>
    </row>
    <row r="75" spans="1:15" ht="17" customHeight="1">
      <c r="B75" s="84" t="s">
        <v>170</v>
      </c>
      <c r="C75" s="85">
        <v>365</v>
      </c>
      <c r="D75" s="85">
        <v>225</v>
      </c>
      <c r="E75" s="989">
        <f t="shared" si="2"/>
        <v>140</v>
      </c>
      <c r="H75" s="380" t="s">
        <v>217</v>
      </c>
      <c r="I75" s="380" t="s">
        <v>76</v>
      </c>
      <c r="J75" s="380" t="s">
        <v>218</v>
      </c>
      <c r="K75" s="380" t="s">
        <v>219</v>
      </c>
      <c r="L75" s="380" t="s">
        <v>220</v>
      </c>
      <c r="M75" s="380" t="s">
        <v>221</v>
      </c>
      <c r="N75" s="380" t="s">
        <v>222</v>
      </c>
    </row>
    <row r="76" spans="1:15" ht="15" customHeight="1">
      <c r="B76" s="84" t="s">
        <v>171</v>
      </c>
      <c r="C76" s="85">
        <v>0</v>
      </c>
      <c r="D76" s="85">
        <v>625</v>
      </c>
      <c r="E76" s="989">
        <f t="shared" si="2"/>
        <v>-625</v>
      </c>
      <c r="H76" s="381" t="s">
        <v>92</v>
      </c>
      <c r="I76" s="382">
        <v>39850</v>
      </c>
      <c r="J76" s="382">
        <v>37425</v>
      </c>
      <c r="K76" s="382">
        <v>41200</v>
      </c>
      <c r="L76" s="382">
        <v>41205</v>
      </c>
      <c r="M76" s="382">
        <v>37240</v>
      </c>
      <c r="N76" s="382">
        <v>36600</v>
      </c>
      <c r="O76" s="805">
        <f>N76/$N$80</f>
        <v>0.46713465220165923</v>
      </c>
    </row>
    <row r="77" spans="1:15" ht="15" customHeight="1">
      <c r="B77" s="84" t="s">
        <v>172</v>
      </c>
      <c r="C77" s="85">
        <v>365</v>
      </c>
      <c r="D77" s="85">
        <v>745</v>
      </c>
      <c r="E77" s="989">
        <f t="shared" si="2"/>
        <v>-380</v>
      </c>
      <c r="H77" s="381" t="s">
        <v>228</v>
      </c>
      <c r="I77" s="382">
        <v>18650</v>
      </c>
      <c r="J77" s="382">
        <v>20085</v>
      </c>
      <c r="K77" s="382">
        <v>20375</v>
      </c>
      <c r="L77" s="382">
        <v>21465</v>
      </c>
      <c r="M77" s="382">
        <v>22135</v>
      </c>
      <c r="N77" s="382">
        <v>24020</v>
      </c>
      <c r="O77" s="805">
        <f>N77/$N$80</f>
        <v>0.30657306955966818</v>
      </c>
    </row>
    <row r="78" spans="1:15" ht="15" customHeight="1">
      <c r="B78" s="84" t="s">
        <v>173</v>
      </c>
      <c r="C78" s="85">
        <v>385</v>
      </c>
      <c r="D78" s="85">
        <v>275</v>
      </c>
      <c r="E78" s="989">
        <f t="shared" si="2"/>
        <v>110</v>
      </c>
      <c r="H78" s="381" t="s">
        <v>229</v>
      </c>
      <c r="I78" s="382">
        <v>12325</v>
      </c>
      <c r="J78" s="382">
        <v>12625</v>
      </c>
      <c r="K78" s="382">
        <v>14250</v>
      </c>
      <c r="L78" s="382">
        <v>15250</v>
      </c>
      <c r="M78" s="382">
        <v>16700</v>
      </c>
      <c r="N78" s="382">
        <v>17730</v>
      </c>
      <c r="O78" s="805">
        <f>N78/$N$80</f>
        <v>0.22629227823867262</v>
      </c>
    </row>
    <row r="79" spans="1:15" ht="14" customHeight="1">
      <c r="B79" s="84" t="s">
        <v>174</v>
      </c>
      <c r="C79" s="85">
        <v>610</v>
      </c>
      <c r="D79" s="85">
        <v>665</v>
      </c>
      <c r="E79" s="989">
        <f t="shared" si="2"/>
        <v>-55</v>
      </c>
      <c r="H79" s="383"/>
    </row>
    <row r="80" spans="1:15" ht="17" customHeight="1">
      <c r="A80">
        <v>1994</v>
      </c>
      <c r="B80" s="274" t="s">
        <v>231</v>
      </c>
      <c r="C80" s="87">
        <v>1355</v>
      </c>
      <c r="D80" s="87">
        <v>2325</v>
      </c>
      <c r="E80" s="989">
        <f t="shared" si="2"/>
        <v>-970</v>
      </c>
      <c r="H80" s="384" t="s">
        <v>225</v>
      </c>
      <c r="I80" s="385">
        <f t="shared" ref="I80:N80" si="5">SUM(I76:I78)</f>
        <v>70825</v>
      </c>
      <c r="J80" s="385">
        <f t="shared" si="5"/>
        <v>70135</v>
      </c>
      <c r="K80" s="385">
        <f t="shared" si="5"/>
        <v>75825</v>
      </c>
      <c r="L80" s="385">
        <f t="shared" si="5"/>
        <v>77920</v>
      </c>
      <c r="M80" s="385">
        <f t="shared" si="5"/>
        <v>76075</v>
      </c>
      <c r="N80" s="385">
        <f t="shared" si="5"/>
        <v>78350</v>
      </c>
    </row>
    <row r="81" spans="1:15">
      <c r="B81" s="86" t="s">
        <v>164</v>
      </c>
      <c r="C81" s="87">
        <v>670</v>
      </c>
      <c r="D81" s="87">
        <v>535</v>
      </c>
      <c r="E81" s="989">
        <f t="shared" si="2"/>
        <v>135</v>
      </c>
    </row>
    <row r="82" spans="1:15" ht="26" customHeight="1">
      <c r="B82" s="86" t="s">
        <v>165</v>
      </c>
      <c r="C82" s="87">
        <v>670</v>
      </c>
      <c r="D82" s="87">
        <v>665</v>
      </c>
      <c r="E82" s="989">
        <f t="shared" si="2"/>
        <v>5</v>
      </c>
      <c r="H82" s="379">
        <v>2025</v>
      </c>
    </row>
    <row r="83" spans="1:15" ht="17" customHeight="1">
      <c r="B83" s="86" t="s">
        <v>166</v>
      </c>
      <c r="C83" s="87">
        <v>670</v>
      </c>
      <c r="D83" s="87">
        <v>495</v>
      </c>
      <c r="E83" s="989">
        <f t="shared" si="2"/>
        <v>175</v>
      </c>
      <c r="H83" s="380" t="s">
        <v>217</v>
      </c>
      <c r="I83" s="380" t="s">
        <v>76</v>
      </c>
      <c r="J83" s="380" t="s">
        <v>218</v>
      </c>
      <c r="K83" s="380" t="s">
        <v>219</v>
      </c>
      <c r="L83" s="380" t="s">
        <v>220</v>
      </c>
      <c r="M83" s="380" t="s">
        <v>221</v>
      </c>
      <c r="N83" s="380" t="s">
        <v>222</v>
      </c>
    </row>
    <row r="84" spans="1:15" ht="15" customHeight="1">
      <c r="B84" s="86" t="s">
        <v>167</v>
      </c>
      <c r="C84" s="87">
        <v>670</v>
      </c>
      <c r="D84" s="87">
        <v>305</v>
      </c>
      <c r="E84" s="989">
        <f t="shared" si="2"/>
        <v>365</v>
      </c>
      <c r="H84" s="381" t="s">
        <v>92</v>
      </c>
      <c r="I84" s="382">
        <v>36325</v>
      </c>
      <c r="J84" s="382">
        <v>34295</v>
      </c>
      <c r="K84" s="382">
        <v>40425</v>
      </c>
      <c r="L84" s="382">
        <v>37490</v>
      </c>
      <c r="M84" s="382">
        <v>34625</v>
      </c>
      <c r="N84" s="382">
        <v>33600</v>
      </c>
      <c r="O84" s="805">
        <f>N84/$N$88</f>
        <v>0.38327724861689388</v>
      </c>
    </row>
    <row r="85" spans="1:15" ht="15" customHeight="1">
      <c r="B85" s="86" t="s">
        <v>168</v>
      </c>
      <c r="C85" s="87">
        <v>670</v>
      </c>
      <c r="D85" s="87">
        <v>305</v>
      </c>
      <c r="E85" s="989">
        <f t="shared" si="2"/>
        <v>365</v>
      </c>
      <c r="H85" s="381" t="s">
        <v>228</v>
      </c>
      <c r="I85" s="382">
        <v>23735</v>
      </c>
      <c r="J85" s="382">
        <v>23335</v>
      </c>
      <c r="K85" s="382">
        <v>21665</v>
      </c>
      <c r="L85" s="382">
        <v>24260</v>
      </c>
      <c r="M85" s="382">
        <v>25875</v>
      </c>
      <c r="N85" s="382">
        <v>27000</v>
      </c>
      <c r="O85" s="805">
        <f>N85/$N$88</f>
        <v>0.30799064621000399</v>
      </c>
    </row>
    <row r="86" spans="1:15" ht="15" customHeight="1">
      <c r="B86" s="86" t="s">
        <v>169</v>
      </c>
      <c r="C86" s="87">
        <v>665</v>
      </c>
      <c r="D86" s="87">
        <v>520</v>
      </c>
      <c r="E86" s="989">
        <f t="shared" si="2"/>
        <v>145</v>
      </c>
      <c r="H86" s="381" t="s">
        <v>229</v>
      </c>
      <c r="I86" s="382">
        <v>18075</v>
      </c>
      <c r="J86" s="382">
        <v>19475</v>
      </c>
      <c r="K86" s="382">
        <v>21585</v>
      </c>
      <c r="L86" s="382">
        <v>23000</v>
      </c>
      <c r="M86" s="382">
        <v>25455</v>
      </c>
      <c r="N86" s="382">
        <v>27065</v>
      </c>
      <c r="O86" s="805">
        <f>N86/$N$88</f>
        <v>0.30873210517310212</v>
      </c>
    </row>
    <row r="87" spans="1:15" ht="14" customHeight="1">
      <c r="B87" s="86" t="s">
        <v>170</v>
      </c>
      <c r="C87" s="87">
        <v>665</v>
      </c>
      <c r="D87" s="87">
        <v>485</v>
      </c>
      <c r="E87" s="989">
        <f t="shared" si="2"/>
        <v>180</v>
      </c>
      <c r="H87" s="383"/>
    </row>
    <row r="88" spans="1:15" ht="17" customHeight="1">
      <c r="B88" s="86" t="s">
        <v>171</v>
      </c>
      <c r="C88" s="87">
        <v>665</v>
      </c>
      <c r="D88" s="87">
        <v>510</v>
      </c>
      <c r="E88" s="989">
        <f t="shared" si="2"/>
        <v>155</v>
      </c>
      <c r="H88" s="384" t="s">
        <v>225</v>
      </c>
      <c r="I88" s="385">
        <f t="shared" ref="I88:N88" si="6">SUM(I84:I86)</f>
        <v>78135</v>
      </c>
      <c r="J88" s="385">
        <f t="shared" si="6"/>
        <v>77105</v>
      </c>
      <c r="K88" s="385">
        <f t="shared" si="6"/>
        <v>83675</v>
      </c>
      <c r="L88" s="385">
        <f t="shared" si="6"/>
        <v>84750</v>
      </c>
      <c r="M88" s="385">
        <f t="shared" si="6"/>
        <v>85955</v>
      </c>
      <c r="N88" s="1030">
        <f t="shared" si="6"/>
        <v>87665</v>
      </c>
    </row>
    <row r="89" spans="1:15">
      <c r="B89" s="86" t="s">
        <v>172</v>
      </c>
      <c r="C89" s="87">
        <v>665</v>
      </c>
      <c r="D89" s="87">
        <v>1325</v>
      </c>
      <c r="E89" s="989">
        <f t="shared" si="2"/>
        <v>-660</v>
      </c>
    </row>
    <row r="90" spans="1:15" ht="26" customHeight="1">
      <c r="B90" s="86" t="s">
        <v>173</v>
      </c>
      <c r="C90" s="87">
        <v>665</v>
      </c>
      <c r="D90" s="87">
        <v>630</v>
      </c>
      <c r="E90" s="989">
        <f t="shared" si="2"/>
        <v>35</v>
      </c>
      <c r="H90" s="379">
        <v>2026</v>
      </c>
    </row>
    <row r="91" spans="1:15" ht="17" customHeight="1">
      <c r="B91" s="86" t="s">
        <v>174</v>
      </c>
      <c r="C91" s="87">
        <v>1325</v>
      </c>
      <c r="D91" s="87">
        <v>1095</v>
      </c>
      <c r="E91" s="989">
        <f t="shared" si="2"/>
        <v>230</v>
      </c>
      <c r="H91" s="380" t="s">
        <v>217</v>
      </c>
      <c r="I91" s="380" t="s">
        <v>76</v>
      </c>
      <c r="J91" s="380" t="s">
        <v>218</v>
      </c>
      <c r="K91" s="380" t="s">
        <v>219</v>
      </c>
      <c r="L91" s="380" t="s">
        <v>220</v>
      </c>
      <c r="M91" s="380" t="s">
        <v>221</v>
      </c>
      <c r="N91" s="380" t="s">
        <v>222</v>
      </c>
    </row>
    <row r="92" spans="1:15" ht="15" customHeight="1">
      <c r="A92">
        <v>1995</v>
      </c>
      <c r="B92" s="275" t="s">
        <v>233</v>
      </c>
      <c r="C92" s="85">
        <v>665</v>
      </c>
      <c r="D92" s="85">
        <v>965</v>
      </c>
      <c r="E92" s="989">
        <f t="shared" si="2"/>
        <v>-300</v>
      </c>
      <c r="H92" s="381" t="s">
        <v>92</v>
      </c>
      <c r="I92" s="382">
        <v>31700</v>
      </c>
      <c r="J92" s="382">
        <v>30275</v>
      </c>
      <c r="K92" s="382">
        <v>33750</v>
      </c>
      <c r="L92" s="382"/>
      <c r="M92" s="382"/>
      <c r="N92" s="382"/>
      <c r="O92" s="805">
        <f>K92/$K$96</f>
        <v>0.34783056786560856</v>
      </c>
    </row>
    <row r="93" spans="1:15" ht="15" customHeight="1">
      <c r="B93" s="84" t="s">
        <v>164</v>
      </c>
      <c r="C93" s="85">
        <v>665</v>
      </c>
      <c r="D93" s="85">
        <v>510</v>
      </c>
      <c r="E93" s="989">
        <f t="shared" si="2"/>
        <v>155</v>
      </c>
      <c r="H93" s="381" t="s">
        <v>228</v>
      </c>
      <c r="I93" s="382">
        <v>27535</v>
      </c>
      <c r="J93" s="382">
        <v>28100</v>
      </c>
      <c r="K93" s="382">
        <v>29300</v>
      </c>
      <c r="L93" s="382"/>
      <c r="M93" s="382"/>
      <c r="N93" s="382"/>
      <c r="O93" s="805">
        <f>K93/$K$96</f>
        <v>0.30196846336184685</v>
      </c>
    </row>
    <row r="94" spans="1:15" ht="15" customHeight="1">
      <c r="B94" s="84" t="s">
        <v>165</v>
      </c>
      <c r="C94" s="85">
        <v>1325</v>
      </c>
      <c r="D94" s="85">
        <v>1255</v>
      </c>
      <c r="E94" s="989">
        <f t="shared" si="2"/>
        <v>70</v>
      </c>
      <c r="H94" s="381" t="s">
        <v>229</v>
      </c>
      <c r="I94" s="382">
        <v>27330</v>
      </c>
      <c r="J94" s="382">
        <v>29900</v>
      </c>
      <c r="K94" s="382">
        <v>33980</v>
      </c>
      <c r="L94" s="382"/>
      <c r="M94" s="382"/>
      <c r="N94" s="382"/>
      <c r="O94" s="805">
        <f>K94/$K$96</f>
        <v>0.35020096877254459</v>
      </c>
    </row>
    <row r="95" spans="1:15" ht="14" customHeight="1">
      <c r="B95" s="84" t="s">
        <v>166</v>
      </c>
      <c r="C95" s="85">
        <v>665</v>
      </c>
      <c r="D95" s="85">
        <v>1265</v>
      </c>
      <c r="E95" s="989">
        <f t="shared" si="2"/>
        <v>-600</v>
      </c>
      <c r="H95" s="383"/>
    </row>
    <row r="96" spans="1:15" ht="17" customHeight="1">
      <c r="B96" s="84" t="s">
        <v>167</v>
      </c>
      <c r="C96" s="85">
        <v>855</v>
      </c>
      <c r="D96" s="85">
        <v>915</v>
      </c>
      <c r="E96" s="989">
        <f t="shared" si="2"/>
        <v>-60</v>
      </c>
      <c r="H96" s="384" t="s">
        <v>225</v>
      </c>
      <c r="I96" s="385">
        <f t="shared" ref="I96:N96" si="7">SUM(I92:I94)</f>
        <v>86565</v>
      </c>
      <c r="J96" s="385">
        <f t="shared" si="7"/>
        <v>88275</v>
      </c>
      <c r="K96" s="1030">
        <f t="shared" si="7"/>
        <v>97030</v>
      </c>
      <c r="L96" s="385">
        <f t="shared" si="7"/>
        <v>0</v>
      </c>
      <c r="M96" s="385">
        <f t="shared" si="7"/>
        <v>0</v>
      </c>
      <c r="N96" s="385">
        <f t="shared" si="7"/>
        <v>0</v>
      </c>
    </row>
    <row r="97" spans="1:11">
      <c r="B97" s="84" t="s">
        <v>168</v>
      </c>
      <c r="C97" s="85">
        <v>1795</v>
      </c>
      <c r="D97" s="85">
        <v>1095</v>
      </c>
      <c r="E97" s="989">
        <f t="shared" si="2"/>
        <v>700</v>
      </c>
      <c r="K97" s="968" t="s">
        <v>232</v>
      </c>
    </row>
    <row r="98" spans="1:11" ht="14" customHeight="1">
      <c r="B98" s="84" t="s">
        <v>169</v>
      </c>
      <c r="C98" s="85">
        <v>820</v>
      </c>
      <c r="D98" s="85">
        <v>745</v>
      </c>
      <c r="E98" s="989">
        <f t="shared" si="2"/>
        <v>75</v>
      </c>
      <c r="H98" s="383" t="s">
        <v>234</v>
      </c>
    </row>
    <row r="99" spans="1:11" ht="18" customHeight="1">
      <c r="B99" s="84" t="s">
        <v>170</v>
      </c>
      <c r="C99" s="85">
        <v>2690</v>
      </c>
      <c r="D99" s="85">
        <v>1000</v>
      </c>
      <c r="E99" s="989">
        <f t="shared" si="2"/>
        <v>1690</v>
      </c>
      <c r="F99" s="88"/>
      <c r="H99" s="383" t="s">
        <v>235</v>
      </c>
    </row>
    <row r="100" spans="1:11">
      <c r="B100" s="84" t="s">
        <v>171</v>
      </c>
      <c r="C100" s="85">
        <v>0</v>
      </c>
      <c r="D100" s="85">
        <v>500</v>
      </c>
      <c r="E100" s="989">
        <f t="shared" si="2"/>
        <v>-500</v>
      </c>
    </row>
    <row r="101" spans="1:11">
      <c r="B101" s="84" t="s">
        <v>172</v>
      </c>
      <c r="C101" s="85">
        <v>0</v>
      </c>
      <c r="D101" s="85">
        <v>825</v>
      </c>
      <c r="E101" s="989">
        <f t="shared" si="2"/>
        <v>-825</v>
      </c>
    </row>
    <row r="102" spans="1:11">
      <c r="B102" s="84" t="s">
        <v>173</v>
      </c>
      <c r="C102" s="85">
        <v>0</v>
      </c>
      <c r="D102" s="85">
        <v>695</v>
      </c>
      <c r="E102" s="989">
        <f t="shared" si="2"/>
        <v>-695</v>
      </c>
    </row>
    <row r="103" spans="1:11">
      <c r="B103" s="84" t="s">
        <v>174</v>
      </c>
      <c r="C103" s="85">
        <v>485</v>
      </c>
      <c r="D103" s="85">
        <v>810</v>
      </c>
      <c r="E103" s="989">
        <f t="shared" si="2"/>
        <v>-325</v>
      </c>
    </row>
    <row r="104" spans="1:11">
      <c r="A104">
        <v>1996</v>
      </c>
      <c r="B104" s="274" t="s">
        <v>236</v>
      </c>
      <c r="C104" s="87">
        <v>605</v>
      </c>
      <c r="D104" s="87">
        <v>656</v>
      </c>
      <c r="E104" s="989">
        <f t="shared" si="2"/>
        <v>-51</v>
      </c>
    </row>
    <row r="105" spans="1:11">
      <c r="B105" s="86" t="s">
        <v>164</v>
      </c>
      <c r="C105" s="87">
        <v>900</v>
      </c>
      <c r="D105" s="87">
        <v>775</v>
      </c>
      <c r="E105" s="989">
        <f t="shared" si="2"/>
        <v>125</v>
      </c>
    </row>
    <row r="106" spans="1:11">
      <c r="B106" s="86" t="s">
        <v>165</v>
      </c>
      <c r="C106" s="87">
        <v>815</v>
      </c>
      <c r="D106" s="87">
        <v>905</v>
      </c>
      <c r="E106" s="989">
        <f t="shared" si="2"/>
        <v>-90</v>
      </c>
    </row>
    <row r="107" spans="1:11">
      <c r="B107" s="86" t="s">
        <v>166</v>
      </c>
      <c r="C107" s="87">
        <v>675</v>
      </c>
      <c r="D107" s="87">
        <v>685</v>
      </c>
      <c r="E107" s="989">
        <f t="shared" si="2"/>
        <v>-10</v>
      </c>
    </row>
    <row r="108" spans="1:11">
      <c r="B108" s="86" t="s">
        <v>167</v>
      </c>
      <c r="C108" s="87">
        <v>1435</v>
      </c>
      <c r="D108" s="87">
        <v>1330</v>
      </c>
      <c r="E108" s="989">
        <f t="shared" ref="E108:E171" si="8">C108-D108</f>
        <v>105</v>
      </c>
    </row>
    <row r="109" spans="1:11">
      <c r="B109" s="86" t="s">
        <v>168</v>
      </c>
      <c r="C109" s="87">
        <v>810</v>
      </c>
      <c r="D109" s="87">
        <v>975</v>
      </c>
      <c r="E109" s="989">
        <f t="shared" si="8"/>
        <v>-165</v>
      </c>
    </row>
    <row r="110" spans="1:11">
      <c r="B110" s="86" t="s">
        <v>169</v>
      </c>
      <c r="C110" s="87">
        <v>1625</v>
      </c>
      <c r="D110" s="87">
        <v>1255</v>
      </c>
      <c r="E110" s="989">
        <f t="shared" si="8"/>
        <v>370</v>
      </c>
    </row>
    <row r="111" spans="1:11">
      <c r="B111" s="86" t="s">
        <v>170</v>
      </c>
      <c r="C111" s="87">
        <v>875</v>
      </c>
      <c r="D111" s="87">
        <v>785</v>
      </c>
      <c r="E111" s="989">
        <f t="shared" si="8"/>
        <v>90</v>
      </c>
    </row>
    <row r="112" spans="1:11">
      <c r="B112" s="86" t="s">
        <v>171</v>
      </c>
      <c r="C112" s="87">
        <v>875</v>
      </c>
      <c r="D112" s="87">
        <v>840</v>
      </c>
      <c r="E112" s="989">
        <f t="shared" si="8"/>
        <v>35</v>
      </c>
    </row>
    <row r="113" spans="1:5">
      <c r="B113" s="86" t="s">
        <v>172</v>
      </c>
      <c r="C113" s="87">
        <v>1295</v>
      </c>
      <c r="D113" s="87">
        <v>1165</v>
      </c>
      <c r="E113" s="989">
        <f t="shared" si="8"/>
        <v>130</v>
      </c>
    </row>
    <row r="114" spans="1:5">
      <c r="B114" s="86" t="s">
        <v>173</v>
      </c>
      <c r="C114" s="87">
        <v>875</v>
      </c>
      <c r="D114" s="87">
        <v>1025</v>
      </c>
      <c r="E114" s="989">
        <f t="shared" si="8"/>
        <v>-150</v>
      </c>
    </row>
    <row r="115" spans="1:5">
      <c r="B115" s="86" t="s">
        <v>174</v>
      </c>
      <c r="C115" s="87">
        <v>1540</v>
      </c>
      <c r="D115" s="87">
        <v>1090</v>
      </c>
      <c r="E115" s="989">
        <f t="shared" si="8"/>
        <v>450</v>
      </c>
    </row>
    <row r="116" spans="1:5">
      <c r="A116">
        <v>1997</v>
      </c>
      <c r="B116" s="275" t="s">
        <v>237</v>
      </c>
      <c r="C116" s="85">
        <v>875</v>
      </c>
      <c r="D116" s="85">
        <v>610</v>
      </c>
      <c r="E116" s="989">
        <f t="shared" si="8"/>
        <v>265</v>
      </c>
    </row>
    <row r="117" spans="1:5">
      <c r="B117" s="84" t="s">
        <v>164</v>
      </c>
      <c r="C117" s="85">
        <v>875</v>
      </c>
      <c r="D117" s="85">
        <v>1745</v>
      </c>
      <c r="E117" s="989">
        <f t="shared" si="8"/>
        <v>-870</v>
      </c>
    </row>
    <row r="118" spans="1:5">
      <c r="B118" s="84" t="s">
        <v>165</v>
      </c>
      <c r="C118" s="85">
        <v>605</v>
      </c>
      <c r="D118" s="85">
        <v>605</v>
      </c>
      <c r="E118" s="989">
        <f t="shared" si="8"/>
        <v>0</v>
      </c>
    </row>
    <row r="119" spans="1:5">
      <c r="B119" s="84" t="s">
        <v>166</v>
      </c>
      <c r="C119" s="85">
        <v>905</v>
      </c>
      <c r="D119" s="85">
        <v>1140</v>
      </c>
      <c r="E119" s="989">
        <f t="shared" si="8"/>
        <v>-235</v>
      </c>
    </row>
    <row r="120" spans="1:5">
      <c r="B120" s="84" t="s">
        <v>167</v>
      </c>
      <c r="C120" s="85">
        <v>1145</v>
      </c>
      <c r="D120" s="85">
        <v>1170</v>
      </c>
      <c r="E120" s="989">
        <f t="shared" si="8"/>
        <v>-25</v>
      </c>
    </row>
    <row r="121" spans="1:5">
      <c r="B121" s="84" t="s">
        <v>168</v>
      </c>
      <c r="C121" s="85">
        <v>3545</v>
      </c>
      <c r="D121" s="85">
        <v>2060</v>
      </c>
      <c r="E121" s="989">
        <f t="shared" si="8"/>
        <v>1485</v>
      </c>
    </row>
    <row r="122" spans="1:5">
      <c r="B122" s="84" t="s">
        <v>169</v>
      </c>
      <c r="C122" s="85">
        <v>305</v>
      </c>
      <c r="D122" s="85">
        <v>745</v>
      </c>
      <c r="E122" s="989">
        <f t="shared" si="8"/>
        <v>-440</v>
      </c>
    </row>
    <row r="123" spans="1:5">
      <c r="B123" s="84" t="s">
        <v>170</v>
      </c>
      <c r="C123" s="85">
        <v>815</v>
      </c>
      <c r="D123" s="85">
        <v>665</v>
      </c>
      <c r="E123" s="989">
        <f t="shared" si="8"/>
        <v>150</v>
      </c>
    </row>
    <row r="124" spans="1:5">
      <c r="B124" s="84" t="s">
        <v>171</v>
      </c>
      <c r="C124" s="85">
        <v>815</v>
      </c>
      <c r="D124" s="85">
        <v>710</v>
      </c>
      <c r="E124" s="989">
        <f t="shared" si="8"/>
        <v>105</v>
      </c>
    </row>
    <row r="125" spans="1:5">
      <c r="B125" s="84" t="s">
        <v>172</v>
      </c>
      <c r="C125" s="85">
        <v>815</v>
      </c>
      <c r="D125" s="85">
        <v>525</v>
      </c>
      <c r="E125" s="989">
        <f t="shared" si="8"/>
        <v>290</v>
      </c>
    </row>
    <row r="126" spans="1:5">
      <c r="B126" s="84" t="s">
        <v>173</v>
      </c>
      <c r="C126" s="85">
        <v>815</v>
      </c>
      <c r="D126" s="85">
        <v>1340</v>
      </c>
      <c r="E126" s="989">
        <f t="shared" si="8"/>
        <v>-525</v>
      </c>
    </row>
    <row r="127" spans="1:5">
      <c r="B127" s="84" t="s">
        <v>174</v>
      </c>
      <c r="C127" s="85">
        <v>815</v>
      </c>
      <c r="D127" s="85">
        <v>945</v>
      </c>
      <c r="E127" s="989">
        <f t="shared" si="8"/>
        <v>-130</v>
      </c>
    </row>
    <row r="128" spans="1:5">
      <c r="A128">
        <v>1998</v>
      </c>
      <c r="B128" s="274" t="s">
        <v>238</v>
      </c>
      <c r="C128" s="87">
        <v>815</v>
      </c>
      <c r="D128" s="87">
        <v>1035</v>
      </c>
      <c r="E128" s="989">
        <f t="shared" si="8"/>
        <v>-220</v>
      </c>
    </row>
    <row r="129" spans="1:13">
      <c r="B129" s="86" t="s">
        <v>164</v>
      </c>
      <c r="C129" s="87">
        <v>815</v>
      </c>
      <c r="D129" s="87">
        <v>945</v>
      </c>
      <c r="E129" s="989">
        <f t="shared" si="8"/>
        <v>-130</v>
      </c>
    </row>
    <row r="130" spans="1:13">
      <c r="B130" s="86" t="s">
        <v>165</v>
      </c>
      <c r="C130" s="87">
        <v>1055</v>
      </c>
      <c r="D130" s="87">
        <v>945</v>
      </c>
      <c r="E130" s="989">
        <f t="shared" si="8"/>
        <v>110</v>
      </c>
    </row>
    <row r="131" spans="1:13">
      <c r="B131" s="86" t="s">
        <v>166</v>
      </c>
      <c r="C131" s="87">
        <v>1055</v>
      </c>
      <c r="D131" s="87">
        <v>1180</v>
      </c>
      <c r="E131" s="989">
        <f t="shared" si="8"/>
        <v>-125</v>
      </c>
    </row>
    <row r="132" spans="1:13">
      <c r="B132" s="86" t="s">
        <v>167</v>
      </c>
      <c r="C132" s="87">
        <v>1055</v>
      </c>
      <c r="D132" s="87">
        <v>945</v>
      </c>
      <c r="E132" s="989">
        <f t="shared" si="8"/>
        <v>110</v>
      </c>
    </row>
    <row r="133" spans="1:13">
      <c r="B133" s="86" t="s">
        <v>168</v>
      </c>
      <c r="C133" s="87">
        <v>1025</v>
      </c>
      <c r="D133" s="87">
        <v>755</v>
      </c>
      <c r="E133" s="989">
        <f t="shared" si="8"/>
        <v>270</v>
      </c>
    </row>
    <row r="134" spans="1:13">
      <c r="B134" s="86" t="s">
        <v>169</v>
      </c>
      <c r="C134" s="87">
        <v>1025</v>
      </c>
      <c r="D134" s="87">
        <v>1325</v>
      </c>
      <c r="E134" s="989">
        <f t="shared" si="8"/>
        <v>-300</v>
      </c>
    </row>
    <row r="135" spans="1:13" ht="16" customHeight="1">
      <c r="B135" s="86" t="s">
        <v>170</v>
      </c>
      <c r="C135" s="87">
        <v>965</v>
      </c>
      <c r="D135" s="87">
        <v>1175</v>
      </c>
      <c r="E135" s="989">
        <f t="shared" si="8"/>
        <v>-210</v>
      </c>
      <c r="H135" s="468" t="s">
        <v>239</v>
      </c>
      <c r="I135" s="467"/>
      <c r="J135" s="467"/>
      <c r="K135" s="467"/>
      <c r="L135" s="467"/>
      <c r="M135" s="467"/>
    </row>
    <row r="136" spans="1:13">
      <c r="B136" s="86" t="s">
        <v>171</v>
      </c>
      <c r="C136" s="87">
        <v>965</v>
      </c>
      <c r="D136" s="87">
        <v>870</v>
      </c>
      <c r="E136" s="989">
        <f t="shared" si="8"/>
        <v>95</v>
      </c>
      <c r="H136" s="471">
        <v>2024</v>
      </c>
      <c r="I136" s="611" t="s">
        <v>240</v>
      </c>
      <c r="J136" s="472"/>
      <c r="K136" s="473" t="s">
        <v>241</v>
      </c>
      <c r="L136" s="472"/>
      <c r="M136" s="472"/>
    </row>
    <row r="137" spans="1:13" ht="16" customHeight="1">
      <c r="B137" s="86" t="s">
        <v>172</v>
      </c>
      <c r="C137" s="87">
        <v>965</v>
      </c>
      <c r="D137" s="87">
        <v>900</v>
      </c>
      <c r="E137" s="989">
        <f t="shared" si="8"/>
        <v>65</v>
      </c>
      <c r="H137" s="464" t="s">
        <v>242</v>
      </c>
      <c r="J137" s="466">
        <v>2780</v>
      </c>
    </row>
    <row r="138" spans="1:13">
      <c r="B138" s="86" t="s">
        <v>173</v>
      </c>
      <c r="C138" s="87">
        <v>965</v>
      </c>
      <c r="D138" s="87">
        <v>930</v>
      </c>
      <c r="E138" s="989">
        <f t="shared" si="8"/>
        <v>35</v>
      </c>
      <c r="H138" s="74" t="s">
        <v>243</v>
      </c>
      <c r="J138" s="465">
        <v>0</v>
      </c>
    </row>
    <row r="139" spans="1:13">
      <c r="B139" s="86" t="s">
        <v>174</v>
      </c>
      <c r="C139" s="87">
        <v>965</v>
      </c>
      <c r="D139" s="87">
        <v>735</v>
      </c>
      <c r="E139" s="989">
        <f t="shared" si="8"/>
        <v>230</v>
      </c>
      <c r="H139" s="461"/>
      <c r="I139" s="464" t="s">
        <v>116</v>
      </c>
      <c r="K139" s="469">
        <v>920</v>
      </c>
    </row>
    <row r="140" spans="1:13">
      <c r="A140">
        <v>1999</v>
      </c>
      <c r="B140" s="275" t="s">
        <v>244</v>
      </c>
      <c r="C140" s="85">
        <v>1745</v>
      </c>
      <c r="D140" s="85">
        <v>1590</v>
      </c>
      <c r="E140" s="989">
        <f t="shared" si="8"/>
        <v>155</v>
      </c>
      <c r="H140" s="461"/>
      <c r="I140" s="74" t="s">
        <v>185</v>
      </c>
      <c r="K140" s="462">
        <v>500</v>
      </c>
    </row>
    <row r="141" spans="1:13">
      <c r="B141" s="84" t="s">
        <v>164</v>
      </c>
      <c r="C141" s="85">
        <v>365</v>
      </c>
      <c r="D141" s="85">
        <v>995</v>
      </c>
      <c r="E141" s="989">
        <f t="shared" si="8"/>
        <v>-630</v>
      </c>
      <c r="H141" s="461"/>
      <c r="I141" s="74" t="s">
        <v>245</v>
      </c>
      <c r="K141" s="462">
        <v>55</v>
      </c>
    </row>
    <row r="142" spans="1:13">
      <c r="B142" s="84" t="s">
        <v>165</v>
      </c>
      <c r="C142" s="85">
        <v>450</v>
      </c>
      <c r="D142" s="85">
        <v>775</v>
      </c>
      <c r="E142" s="989">
        <f t="shared" si="8"/>
        <v>-325</v>
      </c>
      <c r="H142" s="461"/>
      <c r="I142" s="74" t="s">
        <v>246</v>
      </c>
      <c r="K142" s="462">
        <v>100</v>
      </c>
    </row>
    <row r="143" spans="1:13">
      <c r="B143" s="84" t="s">
        <v>166</v>
      </c>
      <c r="C143" s="85">
        <v>995</v>
      </c>
      <c r="D143" s="85">
        <v>385</v>
      </c>
      <c r="E143" s="989">
        <f t="shared" si="8"/>
        <v>610</v>
      </c>
      <c r="H143" s="461"/>
      <c r="I143" s="74" t="s">
        <v>247</v>
      </c>
      <c r="K143" s="462">
        <v>40</v>
      </c>
    </row>
    <row r="144" spans="1:13">
      <c r="B144" s="84" t="s">
        <v>167</v>
      </c>
      <c r="C144" s="85">
        <v>995</v>
      </c>
      <c r="D144" s="85">
        <v>1075</v>
      </c>
      <c r="E144" s="989">
        <f t="shared" si="8"/>
        <v>-80</v>
      </c>
      <c r="H144" s="461"/>
      <c r="I144" s="74" t="s">
        <v>248</v>
      </c>
      <c r="K144" s="462">
        <v>45</v>
      </c>
    </row>
    <row r="145" spans="1:13" ht="14" customHeight="1">
      <c r="B145" s="84" t="s">
        <v>168</v>
      </c>
      <c r="C145" s="85">
        <v>995</v>
      </c>
      <c r="D145" s="85">
        <v>1275</v>
      </c>
      <c r="E145" s="989">
        <f t="shared" si="8"/>
        <v>-280</v>
      </c>
      <c r="H145" s="612" t="s">
        <v>249</v>
      </c>
      <c r="I145" s="613"/>
      <c r="J145" s="614"/>
      <c r="K145" s="614"/>
      <c r="L145" s="615">
        <f>SUM(K139:K144)</f>
        <v>1660</v>
      </c>
      <c r="M145" s="614"/>
    </row>
    <row r="146" spans="1:13">
      <c r="B146" s="84" t="s">
        <v>169</v>
      </c>
      <c r="C146" s="85">
        <v>1385</v>
      </c>
      <c r="D146" s="85">
        <v>1590</v>
      </c>
      <c r="E146" s="989">
        <f t="shared" si="8"/>
        <v>-205</v>
      </c>
      <c r="H146" s="461"/>
      <c r="I146" s="74" t="s">
        <v>250</v>
      </c>
      <c r="K146" s="469">
        <v>300</v>
      </c>
    </row>
    <row r="147" spans="1:13">
      <c r="B147" s="84" t="s">
        <v>170</v>
      </c>
      <c r="C147" s="85">
        <v>995</v>
      </c>
      <c r="D147" s="85">
        <v>1075</v>
      </c>
      <c r="E147" s="989">
        <f t="shared" si="8"/>
        <v>-80</v>
      </c>
      <c r="H147" s="461"/>
      <c r="I147" s="74" t="s">
        <v>103</v>
      </c>
      <c r="K147" s="462">
        <v>15</v>
      </c>
    </row>
    <row r="148" spans="1:13">
      <c r="B148" s="84" t="s">
        <v>171</v>
      </c>
      <c r="C148" s="85">
        <v>1810</v>
      </c>
      <c r="D148" s="85">
        <v>1435</v>
      </c>
      <c r="E148" s="989">
        <f t="shared" si="8"/>
        <v>375</v>
      </c>
      <c r="H148" s="461"/>
      <c r="I148" s="74" t="s">
        <v>251</v>
      </c>
      <c r="K148" s="462">
        <v>5</v>
      </c>
    </row>
    <row r="149" spans="1:13">
      <c r="B149" s="84" t="s">
        <v>172</v>
      </c>
      <c r="C149" s="85">
        <v>1600</v>
      </c>
      <c r="D149" s="85">
        <v>1390</v>
      </c>
      <c r="E149" s="989">
        <f t="shared" si="8"/>
        <v>210</v>
      </c>
      <c r="H149" s="461"/>
      <c r="I149" s="74" t="s">
        <v>252</v>
      </c>
      <c r="K149" s="462">
        <v>10</v>
      </c>
    </row>
    <row r="150" spans="1:13">
      <c r="B150" s="84" t="s">
        <v>173</v>
      </c>
      <c r="C150" s="85">
        <v>1025</v>
      </c>
      <c r="D150" s="85">
        <v>1085</v>
      </c>
      <c r="E150" s="989">
        <f t="shared" si="8"/>
        <v>-60</v>
      </c>
      <c r="H150" s="461"/>
      <c r="I150" s="74" t="s">
        <v>253</v>
      </c>
      <c r="K150" s="462">
        <v>10</v>
      </c>
    </row>
    <row r="151" spans="1:13" ht="14" customHeight="1">
      <c r="B151" s="84" t="s">
        <v>174</v>
      </c>
      <c r="C151" s="85">
        <v>1810</v>
      </c>
      <c r="D151" s="85">
        <v>1695</v>
      </c>
      <c r="E151" s="989">
        <f t="shared" si="8"/>
        <v>115</v>
      </c>
      <c r="H151" s="612" t="s">
        <v>249</v>
      </c>
      <c r="I151" s="613"/>
      <c r="J151" s="614"/>
      <c r="K151" s="614"/>
      <c r="L151" s="615">
        <f>SUM(K146:K150)</f>
        <v>340</v>
      </c>
      <c r="M151" s="614"/>
    </row>
    <row r="152" spans="1:13">
      <c r="A152">
        <v>2000</v>
      </c>
      <c r="B152" s="274" t="s">
        <v>254</v>
      </c>
      <c r="C152" s="87">
        <v>1385</v>
      </c>
      <c r="D152" s="87">
        <v>605</v>
      </c>
      <c r="E152" s="989">
        <f t="shared" si="8"/>
        <v>780</v>
      </c>
      <c r="H152" s="461"/>
      <c r="I152" s="464" t="s">
        <v>255</v>
      </c>
      <c r="K152" s="462">
        <v>75</v>
      </c>
    </row>
    <row r="153" spans="1:13">
      <c r="B153" s="86" t="s">
        <v>164</v>
      </c>
      <c r="C153" s="87">
        <v>1025</v>
      </c>
      <c r="D153" s="87">
        <v>1255</v>
      </c>
      <c r="E153" s="989">
        <f t="shared" si="8"/>
        <v>-230</v>
      </c>
      <c r="H153" s="461"/>
      <c r="I153" s="74" t="s">
        <v>256</v>
      </c>
      <c r="K153" s="462">
        <v>500</v>
      </c>
    </row>
    <row r="154" spans="1:13">
      <c r="B154" s="86" t="s">
        <v>165</v>
      </c>
      <c r="C154" s="87">
        <v>1025</v>
      </c>
      <c r="D154" s="87">
        <v>1570</v>
      </c>
      <c r="E154" s="989">
        <f t="shared" si="8"/>
        <v>-545</v>
      </c>
      <c r="H154" s="461"/>
      <c r="I154" s="74" t="s">
        <v>257</v>
      </c>
      <c r="K154" s="462">
        <v>50</v>
      </c>
    </row>
    <row r="155" spans="1:13">
      <c r="B155" s="86" t="s">
        <v>166</v>
      </c>
      <c r="C155" s="87">
        <v>1025</v>
      </c>
      <c r="D155" s="87">
        <v>845</v>
      </c>
      <c r="E155" s="989">
        <f t="shared" si="8"/>
        <v>180</v>
      </c>
      <c r="H155" s="461"/>
      <c r="I155" s="74" t="s">
        <v>258</v>
      </c>
      <c r="K155" s="462">
        <v>15</v>
      </c>
    </row>
    <row r="156" spans="1:13">
      <c r="B156" s="86" t="s">
        <v>167</v>
      </c>
      <c r="C156" s="87">
        <v>1025</v>
      </c>
      <c r="D156" s="87">
        <v>1095</v>
      </c>
      <c r="E156" s="989">
        <f t="shared" si="8"/>
        <v>-70</v>
      </c>
      <c r="H156" s="461"/>
      <c r="I156" s="74" t="s">
        <v>34</v>
      </c>
      <c r="K156" s="462">
        <v>0</v>
      </c>
    </row>
    <row r="157" spans="1:13">
      <c r="B157" s="86" t="s">
        <v>168</v>
      </c>
      <c r="C157" s="87">
        <v>1025</v>
      </c>
      <c r="D157" s="87">
        <v>1265</v>
      </c>
      <c r="E157" s="989">
        <f t="shared" si="8"/>
        <v>-240</v>
      </c>
      <c r="H157" s="461"/>
      <c r="I157" s="74" t="s">
        <v>259</v>
      </c>
      <c r="K157" s="462">
        <v>0</v>
      </c>
    </row>
    <row r="158" spans="1:13">
      <c r="B158" s="86" t="s">
        <v>169</v>
      </c>
      <c r="C158" s="87">
        <v>1925</v>
      </c>
      <c r="D158" s="87">
        <v>1680</v>
      </c>
      <c r="E158" s="989">
        <f t="shared" si="8"/>
        <v>245</v>
      </c>
      <c r="H158" s="461"/>
      <c r="I158" s="74" t="s">
        <v>260</v>
      </c>
      <c r="K158" s="462">
        <v>0</v>
      </c>
    </row>
    <row r="159" spans="1:13" ht="14" customHeight="1">
      <c r="B159" s="86" t="s">
        <v>170</v>
      </c>
      <c r="C159" s="87">
        <v>1025</v>
      </c>
      <c r="D159" s="87">
        <v>1535</v>
      </c>
      <c r="E159" s="989">
        <f t="shared" si="8"/>
        <v>-510</v>
      </c>
      <c r="H159" s="612" t="s">
        <v>249</v>
      </c>
      <c r="I159" s="613"/>
      <c r="J159" s="614"/>
      <c r="K159" s="615"/>
      <c r="L159" s="615">
        <f>SUM(K152:K158)</f>
        <v>640</v>
      </c>
      <c r="M159" s="614"/>
    </row>
    <row r="160" spans="1:13">
      <c r="B160" s="86" t="s">
        <v>171</v>
      </c>
      <c r="C160" s="87">
        <v>1025</v>
      </c>
      <c r="D160" s="87">
        <v>1215</v>
      </c>
      <c r="E160" s="989">
        <f t="shared" si="8"/>
        <v>-190</v>
      </c>
      <c r="H160" s="461"/>
      <c r="I160" s="74" t="s">
        <v>261</v>
      </c>
      <c r="K160" s="462">
        <v>50</v>
      </c>
    </row>
    <row r="161" spans="1:13">
      <c r="B161" s="86" t="s">
        <v>172</v>
      </c>
      <c r="C161" s="87">
        <v>1025</v>
      </c>
      <c r="D161" s="87">
        <v>1015</v>
      </c>
      <c r="E161" s="989">
        <f t="shared" si="8"/>
        <v>10</v>
      </c>
      <c r="H161" s="461"/>
      <c r="I161" s="74" t="s">
        <v>45</v>
      </c>
      <c r="K161" s="462">
        <v>50</v>
      </c>
    </row>
    <row r="162" spans="1:13">
      <c r="B162" s="86" t="s">
        <v>173</v>
      </c>
      <c r="C162" s="87">
        <v>1025</v>
      </c>
      <c r="D162" s="87">
        <v>950</v>
      </c>
      <c r="E162" s="989">
        <f t="shared" si="8"/>
        <v>75</v>
      </c>
      <c r="H162" s="461"/>
      <c r="I162" s="74" t="s">
        <v>262</v>
      </c>
      <c r="K162" s="462">
        <v>25</v>
      </c>
    </row>
    <row r="163" spans="1:13">
      <c r="B163" s="86" t="s">
        <v>174</v>
      </c>
      <c r="C163" s="87">
        <v>1025</v>
      </c>
      <c r="D163" s="87">
        <v>1005</v>
      </c>
      <c r="E163" s="989">
        <f t="shared" si="8"/>
        <v>20</v>
      </c>
      <c r="H163" s="461"/>
      <c r="I163" s="74" t="s">
        <v>197</v>
      </c>
      <c r="K163" s="462">
        <v>10</v>
      </c>
    </row>
    <row r="164" spans="1:13" ht="14" customHeight="1">
      <c r="A164">
        <v>2001</v>
      </c>
      <c r="B164" s="275" t="s">
        <v>263</v>
      </c>
      <c r="C164" s="85">
        <v>1352.28</v>
      </c>
      <c r="D164" s="85">
        <v>1130</v>
      </c>
      <c r="E164" s="989">
        <f t="shared" si="8"/>
        <v>222.27999999999997</v>
      </c>
      <c r="H164" s="612" t="s">
        <v>249</v>
      </c>
      <c r="I164" s="614"/>
      <c r="J164" s="614"/>
      <c r="K164" s="614"/>
      <c r="L164" s="615">
        <f>SUM(K160:K163)</f>
        <v>135</v>
      </c>
      <c r="M164" s="614"/>
    </row>
    <row r="165" spans="1:13">
      <c r="B165" s="84" t="s">
        <v>164</v>
      </c>
      <c r="C165" s="85">
        <v>1352.28</v>
      </c>
      <c r="D165" s="85">
        <v>1154</v>
      </c>
      <c r="E165" s="989">
        <f t="shared" si="8"/>
        <v>198.27999999999997</v>
      </c>
      <c r="I165" s="74" t="s">
        <v>125</v>
      </c>
    </row>
    <row r="166" spans="1:13">
      <c r="B166" s="84" t="s">
        <v>165</v>
      </c>
      <c r="C166" s="85">
        <v>1322.23</v>
      </c>
      <c r="D166" s="85">
        <v>1473</v>
      </c>
      <c r="E166" s="989">
        <f t="shared" si="8"/>
        <v>-150.76999999999998</v>
      </c>
      <c r="H166" s="461"/>
      <c r="I166" s="74" t="s">
        <v>264</v>
      </c>
      <c r="K166" s="462">
        <v>20</v>
      </c>
    </row>
    <row r="167" spans="1:13">
      <c r="B167" s="84" t="s">
        <v>166</v>
      </c>
      <c r="C167" s="85">
        <v>1322.23</v>
      </c>
      <c r="D167" s="85">
        <v>1352</v>
      </c>
      <c r="E167" s="989">
        <f t="shared" si="8"/>
        <v>-29.769999999999982</v>
      </c>
      <c r="H167" s="461"/>
      <c r="I167" s="74" t="s">
        <v>265</v>
      </c>
      <c r="K167" s="462">
        <v>0</v>
      </c>
    </row>
    <row r="168" spans="1:13">
      <c r="B168" s="84" t="s">
        <v>167</v>
      </c>
      <c r="C168" s="85">
        <v>1322.23</v>
      </c>
      <c r="D168" s="85">
        <v>850</v>
      </c>
      <c r="E168" s="989">
        <f t="shared" si="8"/>
        <v>472.23</v>
      </c>
      <c r="H168" s="461"/>
      <c r="I168" s="74" t="s">
        <v>266</v>
      </c>
      <c r="K168" s="462">
        <v>50</v>
      </c>
    </row>
    <row r="169" spans="1:13">
      <c r="B169" s="84" t="s">
        <v>168</v>
      </c>
      <c r="C169" s="85">
        <v>1352.28</v>
      </c>
      <c r="D169" s="85">
        <v>975</v>
      </c>
      <c r="E169" s="989">
        <f t="shared" si="8"/>
        <v>377.28</v>
      </c>
      <c r="H169" s="461"/>
      <c r="I169" s="74" t="s">
        <v>19</v>
      </c>
      <c r="K169" s="462">
        <v>15</v>
      </c>
    </row>
    <row r="170" spans="1:13">
      <c r="B170" s="84" t="s">
        <v>169</v>
      </c>
      <c r="C170" s="85">
        <v>1803.04</v>
      </c>
      <c r="D170" s="85">
        <v>1750</v>
      </c>
      <c r="E170" s="989">
        <f t="shared" si="8"/>
        <v>53.039999999999964</v>
      </c>
      <c r="H170" s="461"/>
      <c r="I170" s="74" t="s">
        <v>267</v>
      </c>
      <c r="K170" s="462">
        <v>5</v>
      </c>
    </row>
    <row r="171" spans="1:13" ht="14" customHeight="1">
      <c r="B171" s="84" t="s">
        <v>170</v>
      </c>
      <c r="C171" s="85">
        <v>1081.82</v>
      </c>
      <c r="D171" s="85">
        <v>1260</v>
      </c>
      <c r="E171" s="989">
        <f t="shared" si="8"/>
        <v>-178.18000000000006</v>
      </c>
      <c r="H171" s="612" t="s">
        <v>249</v>
      </c>
      <c r="I171" s="613"/>
      <c r="J171" s="614"/>
      <c r="K171" s="614"/>
      <c r="L171" s="615">
        <f>SUM(K166:K170)</f>
        <v>90</v>
      </c>
      <c r="M171" s="614"/>
    </row>
    <row r="172" spans="1:13">
      <c r="B172" s="84" t="s">
        <v>171</v>
      </c>
      <c r="C172" s="85">
        <v>1081.82</v>
      </c>
      <c r="D172" s="85">
        <v>1575</v>
      </c>
      <c r="E172" s="989">
        <f t="shared" ref="E172:E235" si="9">C172-D172</f>
        <v>-493.18000000000006</v>
      </c>
      <c r="H172" s="461"/>
      <c r="I172" s="74" t="s">
        <v>127</v>
      </c>
      <c r="K172" s="462">
        <v>50</v>
      </c>
    </row>
    <row r="173" spans="1:13">
      <c r="B173" s="84" t="s">
        <v>172</v>
      </c>
      <c r="C173" s="85">
        <v>1081.82</v>
      </c>
      <c r="D173" s="85">
        <v>1175</v>
      </c>
      <c r="E173" s="989">
        <f t="shared" si="9"/>
        <v>-93.180000000000064</v>
      </c>
      <c r="H173" s="461"/>
      <c r="I173" s="74" t="s">
        <v>268</v>
      </c>
      <c r="K173" s="462">
        <v>0</v>
      </c>
    </row>
    <row r="174" spans="1:13">
      <c r="B174" s="84" t="s">
        <v>173</v>
      </c>
      <c r="C174" s="85">
        <v>1081.82</v>
      </c>
      <c r="D174" s="85">
        <v>1050</v>
      </c>
      <c r="E174" s="989">
        <f t="shared" si="9"/>
        <v>31.819999999999936</v>
      </c>
      <c r="H174" s="461"/>
      <c r="I174" s="74" t="s">
        <v>269</v>
      </c>
      <c r="K174" s="462">
        <v>10</v>
      </c>
    </row>
    <row r="175" spans="1:13" ht="14" customHeight="1">
      <c r="B175" s="84" t="s">
        <v>174</v>
      </c>
      <c r="C175" s="85">
        <v>2081</v>
      </c>
      <c r="D175" s="85">
        <v>1253</v>
      </c>
      <c r="E175" s="989">
        <f t="shared" si="9"/>
        <v>828</v>
      </c>
      <c r="H175" s="612" t="s">
        <v>249</v>
      </c>
      <c r="I175" s="613"/>
      <c r="J175" s="614"/>
      <c r="K175" s="614"/>
      <c r="L175" s="615">
        <f>SUM(K172:K174)</f>
        <v>60</v>
      </c>
      <c r="M175" s="614"/>
    </row>
    <row r="176" spans="1:13">
      <c r="A176">
        <v>2002</v>
      </c>
      <c r="B176" s="274" t="s">
        <v>270</v>
      </c>
      <c r="C176" s="87">
        <v>1081.82</v>
      </c>
      <c r="D176" s="87">
        <v>1134.6400000000001</v>
      </c>
      <c r="E176" s="989">
        <f t="shared" si="9"/>
        <v>-52.820000000000164</v>
      </c>
      <c r="H176" s="461"/>
      <c r="I176" s="74" t="s">
        <v>205</v>
      </c>
      <c r="K176" s="462">
        <v>15</v>
      </c>
    </row>
    <row r="177" spans="1:20">
      <c r="B177" s="86" t="s">
        <v>164</v>
      </c>
      <c r="C177" s="87">
        <v>1090</v>
      </c>
      <c r="D177" s="87">
        <v>1580.64</v>
      </c>
      <c r="E177" s="989">
        <f t="shared" si="9"/>
        <v>-490.6400000000001</v>
      </c>
      <c r="H177" s="461"/>
      <c r="I177" s="74" t="s">
        <v>271</v>
      </c>
      <c r="K177" s="462">
        <v>40</v>
      </c>
    </row>
    <row r="178" spans="1:20">
      <c r="B178" s="86" t="s">
        <v>165</v>
      </c>
      <c r="C178" s="87">
        <v>2730</v>
      </c>
      <c r="D178" s="87">
        <v>2531</v>
      </c>
      <c r="E178" s="989">
        <f t="shared" si="9"/>
        <v>199</v>
      </c>
      <c r="H178" s="461"/>
      <c r="I178" s="74" t="s">
        <v>272</v>
      </c>
      <c r="K178" s="462">
        <v>20</v>
      </c>
    </row>
    <row r="179" spans="1:20">
      <c r="B179" s="86" t="s">
        <v>166</v>
      </c>
      <c r="C179" s="87">
        <v>1450</v>
      </c>
      <c r="D179" s="87">
        <v>1394</v>
      </c>
      <c r="E179" s="989">
        <f t="shared" si="9"/>
        <v>56</v>
      </c>
      <c r="H179" s="461"/>
      <c r="I179" s="74" t="s">
        <v>273</v>
      </c>
      <c r="K179" s="462">
        <v>10</v>
      </c>
    </row>
    <row r="180" spans="1:20" ht="14" customHeight="1">
      <c r="B180" s="86" t="s">
        <v>167</v>
      </c>
      <c r="C180" s="87">
        <v>1450</v>
      </c>
      <c r="D180" s="87">
        <v>1560</v>
      </c>
      <c r="E180" s="989">
        <f t="shared" si="9"/>
        <v>-110</v>
      </c>
      <c r="H180" s="612" t="s">
        <v>249</v>
      </c>
      <c r="I180" s="613"/>
      <c r="J180" s="614"/>
      <c r="K180" s="614"/>
      <c r="L180" s="615">
        <f>SUM(K176:K179)</f>
        <v>85</v>
      </c>
      <c r="M180" s="614"/>
    </row>
    <row r="181" spans="1:20">
      <c r="B181" s="86" t="s">
        <v>168</v>
      </c>
      <c r="C181" s="87">
        <v>1450</v>
      </c>
      <c r="D181" s="87">
        <v>1458</v>
      </c>
      <c r="E181" s="989">
        <f t="shared" si="9"/>
        <v>-8</v>
      </c>
      <c r="H181" s="461"/>
      <c r="I181" s="74" t="s">
        <v>274</v>
      </c>
      <c r="K181" s="462">
        <v>10</v>
      </c>
    </row>
    <row r="182" spans="1:20">
      <c r="B182" s="86" t="s">
        <v>169</v>
      </c>
      <c r="C182" s="87">
        <v>2900</v>
      </c>
      <c r="D182" s="87">
        <v>2706</v>
      </c>
      <c r="E182" s="989">
        <f t="shared" si="9"/>
        <v>194</v>
      </c>
      <c r="H182" s="461"/>
      <c r="I182" s="74" t="s">
        <v>208</v>
      </c>
      <c r="K182" s="462">
        <v>0</v>
      </c>
    </row>
    <row r="183" spans="1:20">
      <c r="B183" s="86" t="s">
        <v>170</v>
      </c>
      <c r="C183" s="87">
        <v>1450</v>
      </c>
      <c r="D183" s="87">
        <v>960</v>
      </c>
      <c r="E183" s="989">
        <f t="shared" si="9"/>
        <v>490</v>
      </c>
      <c r="H183" s="461"/>
      <c r="I183" s="464" t="s">
        <v>32</v>
      </c>
      <c r="K183" s="462">
        <v>250</v>
      </c>
    </row>
    <row r="184" spans="1:20">
      <c r="B184" s="86" t="s">
        <v>171</v>
      </c>
      <c r="C184" s="87">
        <v>1450</v>
      </c>
      <c r="D184" s="87">
        <v>1065</v>
      </c>
      <c r="E184" s="989">
        <f t="shared" si="9"/>
        <v>385</v>
      </c>
      <c r="H184" s="461"/>
      <c r="I184" s="74" t="s">
        <v>275</v>
      </c>
      <c r="K184" s="462">
        <v>40</v>
      </c>
    </row>
    <row r="185" spans="1:20" ht="14" customHeight="1">
      <c r="B185" s="86" t="s">
        <v>172</v>
      </c>
      <c r="C185" s="87">
        <v>1450</v>
      </c>
      <c r="D185" s="87">
        <v>1885</v>
      </c>
      <c r="E185" s="989">
        <f t="shared" si="9"/>
        <v>-435</v>
      </c>
      <c r="H185" s="612" t="s">
        <v>249</v>
      </c>
      <c r="I185" s="613"/>
      <c r="J185" s="614"/>
      <c r="K185" s="614"/>
      <c r="L185" s="615">
        <f>SUM(K181:K184)</f>
        <v>300</v>
      </c>
      <c r="M185" s="614"/>
    </row>
    <row r="186" spans="1:20">
      <c r="B186" s="86" t="s">
        <v>173</v>
      </c>
      <c r="C186" s="87">
        <v>1450</v>
      </c>
      <c r="D186" s="87">
        <v>1731</v>
      </c>
      <c r="E186" s="989">
        <f t="shared" si="9"/>
        <v>-281</v>
      </c>
    </row>
    <row r="187" spans="1:20">
      <c r="B187" s="86" t="s">
        <v>174</v>
      </c>
      <c r="C187" s="87">
        <v>2950</v>
      </c>
      <c r="D187" s="87">
        <v>1490</v>
      </c>
      <c r="E187" s="989">
        <f t="shared" si="9"/>
        <v>1460</v>
      </c>
    </row>
    <row r="188" spans="1:20" ht="16" customHeight="1">
      <c r="A188">
        <v>2003</v>
      </c>
      <c r="B188" s="275" t="s">
        <v>276</v>
      </c>
      <c r="C188" s="85">
        <v>1450</v>
      </c>
      <c r="D188" s="85">
        <v>1509</v>
      </c>
      <c r="E188" s="989">
        <f t="shared" si="9"/>
        <v>-59</v>
      </c>
      <c r="H188" s="461" t="s">
        <v>86</v>
      </c>
      <c r="I188" s="74"/>
      <c r="K188" s="463"/>
      <c r="L188" s="470">
        <f>SUM(L139:L186)</f>
        <v>3310</v>
      </c>
    </row>
    <row r="189" spans="1:20" ht="14" customHeight="1">
      <c r="B189" s="84" t="s">
        <v>164</v>
      </c>
      <c r="C189" s="85">
        <v>1450</v>
      </c>
      <c r="D189" s="85">
        <v>1878</v>
      </c>
      <c r="E189" s="989">
        <f t="shared" si="9"/>
        <v>-428</v>
      </c>
      <c r="H189" s="461" t="s">
        <v>158</v>
      </c>
      <c r="I189" s="74"/>
      <c r="K189" s="462">
        <f>J137-L188</f>
        <v>-530</v>
      </c>
    </row>
    <row r="190" spans="1:20">
      <c r="B190" s="84" t="s">
        <v>165</v>
      </c>
      <c r="C190" s="85">
        <v>3100</v>
      </c>
      <c r="D190" s="85">
        <v>2132</v>
      </c>
      <c r="E190" s="989">
        <f t="shared" si="9"/>
        <v>968</v>
      </c>
      <c r="R190" t="s">
        <v>277</v>
      </c>
    </row>
    <row r="191" spans="1:20">
      <c r="B191" s="84" t="s">
        <v>166</v>
      </c>
      <c r="C191" s="85">
        <v>1450</v>
      </c>
      <c r="D191" s="85">
        <v>3445</v>
      </c>
      <c r="E191" s="989">
        <f t="shared" si="9"/>
        <v>-1995</v>
      </c>
      <c r="F191" s="919" t="s">
        <v>278</v>
      </c>
      <c r="G191" s="912">
        <v>2025</v>
      </c>
      <c r="H191" s="789" t="s">
        <v>279</v>
      </c>
      <c r="I191" s="789" t="s">
        <v>280</v>
      </c>
      <c r="J191" s="789" t="s">
        <v>281</v>
      </c>
      <c r="K191" s="789" t="s">
        <v>121</v>
      </c>
      <c r="L191" s="789" t="s">
        <v>282</v>
      </c>
      <c r="M191" s="789" t="s">
        <v>12</v>
      </c>
      <c r="N191" s="789" t="s">
        <v>283</v>
      </c>
      <c r="O191" s="750"/>
      <c r="R191" s="968" t="s">
        <v>65</v>
      </c>
      <c r="S191" s="968" t="s">
        <v>67</v>
      </c>
      <c r="T191" t="s">
        <v>284</v>
      </c>
    </row>
    <row r="192" spans="1:20" ht="18" customHeight="1">
      <c r="B192" s="84" t="s">
        <v>167</v>
      </c>
      <c r="C192" s="85">
        <v>1450</v>
      </c>
      <c r="D192" s="85">
        <v>1209</v>
      </c>
      <c r="E192" s="989">
        <f t="shared" si="9"/>
        <v>241</v>
      </c>
      <c r="G192" t="s">
        <v>76</v>
      </c>
      <c r="H192" s="535">
        <v>65</v>
      </c>
      <c r="I192" s="535">
        <v>85</v>
      </c>
      <c r="J192" s="535">
        <v>465</v>
      </c>
      <c r="K192" s="535">
        <v>60</v>
      </c>
      <c r="L192" s="535">
        <v>110</v>
      </c>
      <c r="M192" s="535">
        <v>800</v>
      </c>
      <c r="N192" s="535">
        <v>25</v>
      </c>
      <c r="O192" s="914">
        <f t="shared" ref="O192:O199" si="10">SUM(H192:N192)</f>
        <v>1610</v>
      </c>
      <c r="Q192" t="s">
        <v>76</v>
      </c>
      <c r="R192" s="460">
        <f>AVERAGE(H248,H260,H272,H284,H296)</f>
        <v>2777</v>
      </c>
      <c r="S192" s="460">
        <f>AVERAGE(I248,I260,I272,I284,I296)</f>
        <v>3079</v>
      </c>
      <c r="T192">
        <v>3000</v>
      </c>
    </row>
    <row r="193" spans="1:19" ht="18" customHeight="1">
      <c r="B193" s="84" t="s">
        <v>168</v>
      </c>
      <c r="C193" s="85">
        <v>1450</v>
      </c>
      <c r="D193" s="85">
        <v>3015</v>
      </c>
      <c r="E193" s="989">
        <f t="shared" si="9"/>
        <v>-1565</v>
      </c>
      <c r="G193" t="s">
        <v>285</v>
      </c>
      <c r="H193" s="535">
        <v>55</v>
      </c>
      <c r="I193" s="535">
        <v>105</v>
      </c>
      <c r="J193" s="535">
        <v>380</v>
      </c>
      <c r="K193" s="535">
        <v>50</v>
      </c>
      <c r="L193" s="535">
        <v>25</v>
      </c>
      <c r="M193" s="535">
        <v>0</v>
      </c>
      <c r="N193" s="535">
        <v>115</v>
      </c>
      <c r="O193" s="914">
        <f t="shared" si="10"/>
        <v>730</v>
      </c>
      <c r="Q193" t="s">
        <v>285</v>
      </c>
      <c r="R193" s="460">
        <f t="shared" ref="R193:R203" si="11">AVERAGE(H237,H249,H261,H273,H285)</f>
        <v>1882</v>
      </c>
      <c r="S193" s="460">
        <f t="shared" ref="S193:S203" si="12">AVERAGE(I237,I249,I261,I273,I285)</f>
        <v>2826</v>
      </c>
    </row>
    <row r="194" spans="1:19" ht="18" customHeight="1">
      <c r="B194" s="84" t="s">
        <v>169</v>
      </c>
      <c r="C194" s="85">
        <v>6100</v>
      </c>
      <c r="D194" s="85">
        <v>1390</v>
      </c>
      <c r="E194" s="989">
        <f t="shared" si="9"/>
        <v>4710</v>
      </c>
      <c r="G194" t="s">
        <v>218</v>
      </c>
      <c r="H194" s="535">
        <v>55</v>
      </c>
      <c r="I194" s="535">
        <v>60</v>
      </c>
      <c r="J194" s="535">
        <v>375</v>
      </c>
      <c r="K194" s="535">
        <v>75</v>
      </c>
      <c r="L194" s="535">
        <v>25</v>
      </c>
      <c r="M194" s="535">
        <v>300</v>
      </c>
      <c r="N194" s="535">
        <v>35</v>
      </c>
      <c r="O194" s="914">
        <f t="shared" si="10"/>
        <v>925</v>
      </c>
      <c r="Q194" t="s">
        <v>218</v>
      </c>
      <c r="R194" s="460">
        <f t="shared" si="11"/>
        <v>1939</v>
      </c>
      <c r="S194" s="460">
        <f t="shared" si="12"/>
        <v>1940</v>
      </c>
    </row>
    <row r="195" spans="1:19" ht="18" customHeight="1">
      <c r="B195" s="84" t="s">
        <v>170</v>
      </c>
      <c r="C195" s="85">
        <v>1450</v>
      </c>
      <c r="D195" s="85">
        <v>2637</v>
      </c>
      <c r="E195" s="989">
        <f t="shared" si="9"/>
        <v>-1187</v>
      </c>
      <c r="G195" t="s">
        <v>286</v>
      </c>
      <c r="H195" s="535">
        <v>20</v>
      </c>
      <c r="I195" s="535">
        <v>75</v>
      </c>
      <c r="J195" s="535">
        <v>420</v>
      </c>
      <c r="K195" s="535">
        <v>75</v>
      </c>
      <c r="L195" s="535">
        <v>110</v>
      </c>
      <c r="M195" s="535">
        <v>860</v>
      </c>
      <c r="N195" s="535">
        <v>45</v>
      </c>
      <c r="O195" s="914">
        <f t="shared" si="10"/>
        <v>1605</v>
      </c>
      <c r="Q195" t="s">
        <v>286</v>
      </c>
      <c r="R195" s="460">
        <f t="shared" si="11"/>
        <v>4366</v>
      </c>
      <c r="S195" s="460">
        <f t="shared" si="12"/>
        <v>2285</v>
      </c>
    </row>
    <row r="196" spans="1:19" ht="18" customHeight="1">
      <c r="B196" s="84" t="s">
        <v>171</v>
      </c>
      <c r="C196" s="85">
        <v>1450</v>
      </c>
      <c r="D196" s="85">
        <v>2077</v>
      </c>
      <c r="E196" s="989">
        <f t="shared" si="9"/>
        <v>-627</v>
      </c>
      <c r="G196" t="s">
        <v>219</v>
      </c>
      <c r="H196" s="535">
        <v>125</v>
      </c>
      <c r="I196" s="535">
        <v>90</v>
      </c>
      <c r="J196" s="535">
        <v>410</v>
      </c>
      <c r="K196" s="535">
        <v>15</v>
      </c>
      <c r="L196" s="535">
        <v>30</v>
      </c>
      <c r="M196" s="535">
        <v>0</v>
      </c>
      <c r="N196" s="535">
        <v>1070</v>
      </c>
      <c r="O196" s="914">
        <f t="shared" si="10"/>
        <v>1740</v>
      </c>
      <c r="Q196" t="s">
        <v>219</v>
      </c>
      <c r="R196" s="460">
        <f t="shared" si="11"/>
        <v>2047</v>
      </c>
      <c r="S196" s="460">
        <f t="shared" si="12"/>
        <v>2316.4</v>
      </c>
    </row>
    <row r="197" spans="1:19" ht="18" customHeight="1">
      <c r="B197" s="84" t="s">
        <v>172</v>
      </c>
      <c r="C197" s="85">
        <v>1450</v>
      </c>
      <c r="D197" s="85">
        <v>1921</v>
      </c>
      <c r="E197" s="989">
        <f t="shared" si="9"/>
        <v>-471</v>
      </c>
      <c r="G197" t="s">
        <v>287</v>
      </c>
      <c r="H197" s="535">
        <v>200</v>
      </c>
      <c r="I197" s="535">
        <v>140</v>
      </c>
      <c r="J197" s="535">
        <v>360</v>
      </c>
      <c r="K197" s="535">
        <v>75</v>
      </c>
      <c r="L197" s="535">
        <v>30</v>
      </c>
      <c r="M197" s="535">
        <v>300</v>
      </c>
      <c r="N197" s="535">
        <v>100</v>
      </c>
      <c r="O197" s="914">
        <f t="shared" si="10"/>
        <v>1205</v>
      </c>
      <c r="Q197" t="s">
        <v>287</v>
      </c>
      <c r="R197" s="460">
        <f t="shared" si="11"/>
        <v>1994</v>
      </c>
      <c r="S197" s="460">
        <f t="shared" si="12"/>
        <v>2401</v>
      </c>
    </row>
    <row r="198" spans="1:19" ht="18" customHeight="1">
      <c r="B198" s="84" t="s">
        <v>173</v>
      </c>
      <c r="C198" s="85">
        <v>1450</v>
      </c>
      <c r="D198" s="85">
        <v>2040</v>
      </c>
      <c r="E198" s="989">
        <f t="shared" si="9"/>
        <v>-590</v>
      </c>
      <c r="G198" t="s">
        <v>220</v>
      </c>
      <c r="H198" s="535">
        <v>285</v>
      </c>
      <c r="I198" s="535">
        <v>120</v>
      </c>
      <c r="J198" s="535">
        <v>405</v>
      </c>
      <c r="K198" s="535">
        <v>75</v>
      </c>
      <c r="L198" s="535">
        <v>110</v>
      </c>
      <c r="M198" s="535">
        <v>250</v>
      </c>
      <c r="N198" s="535">
        <v>30</v>
      </c>
      <c r="O198" s="914">
        <f t="shared" si="10"/>
        <v>1275</v>
      </c>
      <c r="Q198" t="s">
        <v>220</v>
      </c>
      <c r="R198" s="460">
        <f t="shared" si="11"/>
        <v>4193</v>
      </c>
      <c r="S198" s="460">
        <f t="shared" si="12"/>
        <v>2995</v>
      </c>
    </row>
    <row r="199" spans="1:19" ht="18" customHeight="1">
      <c r="B199" s="84" t="s">
        <v>174</v>
      </c>
      <c r="C199" s="85">
        <v>3000</v>
      </c>
      <c r="D199" s="85">
        <v>1626</v>
      </c>
      <c r="E199" s="989">
        <f t="shared" si="9"/>
        <v>1374</v>
      </c>
      <c r="G199" t="s">
        <v>288</v>
      </c>
      <c r="H199" s="535">
        <v>120</v>
      </c>
      <c r="I199" s="535">
        <v>105</v>
      </c>
      <c r="J199" s="535">
        <v>385</v>
      </c>
      <c r="K199" s="535">
        <v>75</v>
      </c>
      <c r="L199" s="535">
        <v>30</v>
      </c>
      <c r="M199" s="535">
        <v>410</v>
      </c>
      <c r="N199" s="535">
        <v>25</v>
      </c>
      <c r="O199" s="914">
        <f t="shared" si="10"/>
        <v>1150</v>
      </c>
      <c r="Q199" t="s">
        <v>288</v>
      </c>
      <c r="R199" s="460">
        <f t="shared" si="11"/>
        <v>2068</v>
      </c>
      <c r="S199" s="460">
        <f t="shared" si="12"/>
        <v>3182</v>
      </c>
    </row>
    <row r="200" spans="1:19" ht="18" customHeight="1">
      <c r="A200">
        <v>2004</v>
      </c>
      <c r="B200" s="274" t="s">
        <v>289</v>
      </c>
      <c r="C200" s="90">
        <v>1490</v>
      </c>
      <c r="D200" s="90">
        <v>1413</v>
      </c>
      <c r="E200" s="989">
        <f t="shared" si="9"/>
        <v>77</v>
      </c>
      <c r="G200" t="s">
        <v>290</v>
      </c>
      <c r="H200" s="535"/>
      <c r="I200" s="535"/>
      <c r="J200" s="535"/>
      <c r="K200" s="535"/>
      <c r="L200" s="535"/>
      <c r="M200" s="535"/>
      <c r="N200" s="535"/>
      <c r="O200" s="914"/>
      <c r="Q200" t="s">
        <v>290</v>
      </c>
      <c r="R200" s="460">
        <f t="shared" si="11"/>
        <v>2080</v>
      </c>
      <c r="S200" s="460">
        <f t="shared" si="12"/>
        <v>2577</v>
      </c>
    </row>
    <row r="201" spans="1:19" ht="18" customHeight="1">
      <c r="B201" s="86" t="s">
        <v>164</v>
      </c>
      <c r="C201" s="90">
        <v>1490</v>
      </c>
      <c r="D201" s="90">
        <v>1497</v>
      </c>
      <c r="E201" s="989">
        <f t="shared" si="9"/>
        <v>-7</v>
      </c>
      <c r="G201" t="s">
        <v>221</v>
      </c>
      <c r="H201" s="535"/>
      <c r="I201" s="535"/>
      <c r="J201" s="535"/>
      <c r="K201" s="535"/>
      <c r="L201" s="535"/>
      <c r="M201" s="535"/>
      <c r="N201" s="535"/>
      <c r="O201" s="914"/>
      <c r="Q201" t="s">
        <v>221</v>
      </c>
      <c r="R201" s="460">
        <f t="shared" si="11"/>
        <v>4187</v>
      </c>
      <c r="S201" s="460">
        <f t="shared" si="12"/>
        <v>2838</v>
      </c>
    </row>
    <row r="202" spans="1:19" ht="18" customHeight="1">
      <c r="B202" s="86" t="s">
        <v>165</v>
      </c>
      <c r="C202" s="90">
        <v>1490</v>
      </c>
      <c r="D202" s="90">
        <v>1747</v>
      </c>
      <c r="E202" s="989">
        <f t="shared" si="9"/>
        <v>-257</v>
      </c>
      <c r="G202" t="s">
        <v>291</v>
      </c>
      <c r="H202" s="535"/>
      <c r="I202" s="535"/>
      <c r="J202" s="535"/>
      <c r="K202" s="535"/>
      <c r="L202" s="535"/>
      <c r="M202" s="535"/>
      <c r="N202" s="535"/>
      <c r="O202" s="914"/>
      <c r="Q202" t="s">
        <v>291</v>
      </c>
      <c r="R202" s="460">
        <f t="shared" si="11"/>
        <v>1915</v>
      </c>
      <c r="S202" s="460">
        <f t="shared" si="12"/>
        <v>2006</v>
      </c>
    </row>
    <row r="203" spans="1:19" ht="18" customHeight="1">
      <c r="B203" s="86" t="s">
        <v>166</v>
      </c>
      <c r="C203" s="90">
        <v>3495</v>
      </c>
      <c r="D203" s="90">
        <v>1445</v>
      </c>
      <c r="E203" s="989">
        <f t="shared" si="9"/>
        <v>2050</v>
      </c>
      <c r="G203" t="s">
        <v>222</v>
      </c>
      <c r="H203" s="535"/>
      <c r="I203" s="535"/>
      <c r="J203" s="535"/>
      <c r="K203" s="535"/>
      <c r="L203" s="535"/>
      <c r="M203" s="535"/>
      <c r="N203" s="535"/>
      <c r="O203" s="914"/>
      <c r="Q203" t="s">
        <v>222</v>
      </c>
      <c r="R203" s="460">
        <f t="shared" si="11"/>
        <v>3725</v>
      </c>
      <c r="S203" s="460">
        <f t="shared" si="12"/>
        <v>3356</v>
      </c>
    </row>
    <row r="204" spans="1:19" ht="18" customHeight="1">
      <c r="B204" s="86" t="s">
        <v>167</v>
      </c>
      <c r="C204" s="90">
        <v>4200</v>
      </c>
      <c r="D204" s="90">
        <v>1895</v>
      </c>
      <c r="E204" s="989">
        <f t="shared" si="9"/>
        <v>2305</v>
      </c>
      <c r="G204" s="915" t="s">
        <v>292</v>
      </c>
      <c r="H204" s="916">
        <f t="shared" ref="H204:O204" si="13">AVERAGE(H192:H203)</f>
        <v>115.625</v>
      </c>
      <c r="I204" s="916">
        <f t="shared" si="13"/>
        <v>97.5</v>
      </c>
      <c r="J204" s="916">
        <f t="shared" si="13"/>
        <v>400</v>
      </c>
      <c r="K204" s="916">
        <f t="shared" si="13"/>
        <v>62.5</v>
      </c>
      <c r="L204" s="916">
        <f t="shared" si="13"/>
        <v>58.75</v>
      </c>
      <c r="M204" s="916">
        <f t="shared" si="13"/>
        <v>365</v>
      </c>
      <c r="N204" s="916">
        <f t="shared" si="13"/>
        <v>180.625</v>
      </c>
      <c r="O204" s="914">
        <f t="shared" si="13"/>
        <v>1280</v>
      </c>
      <c r="R204" s="347"/>
      <c r="S204" s="347"/>
    </row>
    <row r="205" spans="1:19">
      <c r="B205" s="86" t="s">
        <v>168</v>
      </c>
      <c r="C205" s="90">
        <v>2015</v>
      </c>
      <c r="D205" s="90">
        <v>2175</v>
      </c>
      <c r="E205" s="989">
        <f t="shared" si="9"/>
        <v>-160</v>
      </c>
      <c r="G205" t="s">
        <v>293</v>
      </c>
      <c r="H205">
        <v>90</v>
      </c>
      <c r="I205">
        <v>100</v>
      </c>
      <c r="J205">
        <v>400</v>
      </c>
      <c r="K205">
        <v>60</v>
      </c>
      <c r="L205">
        <v>60</v>
      </c>
      <c r="M205">
        <v>380</v>
      </c>
      <c r="N205">
        <v>230</v>
      </c>
      <c r="O205">
        <f>SUM(H205:N205)</f>
        <v>1320</v>
      </c>
      <c r="R205" s="460">
        <f>SUM(R192:R203)</f>
        <v>33173</v>
      </c>
      <c r="S205" s="460">
        <f>SUM(S192:S203)</f>
        <v>31801.4</v>
      </c>
    </row>
    <row r="206" spans="1:19">
      <c r="B206" s="86" t="s">
        <v>169</v>
      </c>
      <c r="C206" s="90">
        <v>2900</v>
      </c>
      <c r="D206" s="90">
        <v>3165</v>
      </c>
      <c r="E206" s="989">
        <f t="shared" si="9"/>
        <v>-265</v>
      </c>
      <c r="R206" s="347"/>
      <c r="S206" s="347"/>
    </row>
    <row r="207" spans="1:19">
      <c r="B207" s="86" t="s">
        <v>170</v>
      </c>
      <c r="C207" s="90">
        <v>2200</v>
      </c>
      <c r="D207" s="90">
        <v>2175</v>
      </c>
      <c r="E207" s="989">
        <f t="shared" si="9"/>
        <v>25</v>
      </c>
      <c r="F207" s="865" t="s">
        <v>19</v>
      </c>
      <c r="G207" s="865"/>
      <c r="H207" s="913" t="s">
        <v>23</v>
      </c>
      <c r="I207" s="913" t="s">
        <v>131</v>
      </c>
      <c r="J207" s="913" t="s">
        <v>294</v>
      </c>
      <c r="K207" s="913" t="s">
        <v>295</v>
      </c>
      <c r="L207" s="913"/>
      <c r="M207" s="913"/>
      <c r="N207" s="913"/>
      <c r="O207" s="865"/>
      <c r="R207" s="347"/>
      <c r="S207" s="347"/>
    </row>
    <row r="208" spans="1:19" ht="18" customHeight="1">
      <c r="B208" s="86" t="s">
        <v>171</v>
      </c>
      <c r="C208" s="90">
        <v>2200</v>
      </c>
      <c r="D208" s="90">
        <v>2170</v>
      </c>
      <c r="E208" s="989">
        <f t="shared" si="9"/>
        <v>30</v>
      </c>
      <c r="G208" t="s">
        <v>296</v>
      </c>
      <c r="H208" s="535">
        <v>920</v>
      </c>
      <c r="I208" s="535">
        <v>20</v>
      </c>
      <c r="J208" s="535">
        <v>45</v>
      </c>
      <c r="K208" s="535">
        <v>45</v>
      </c>
      <c r="L208" s="535"/>
      <c r="N208" s="535"/>
      <c r="O208" s="914">
        <f>SUM(H208:L208)</f>
        <v>1030</v>
      </c>
      <c r="Q208" t="s">
        <v>297</v>
      </c>
      <c r="S208" s="460">
        <f>AVERAGE(H284:H295)</f>
        <v>3110.8333333333335</v>
      </c>
    </row>
    <row r="209" spans="1:15">
      <c r="B209" s="86" t="s">
        <v>172</v>
      </c>
      <c r="C209" s="90">
        <v>2000</v>
      </c>
      <c r="D209" s="90">
        <v>1950</v>
      </c>
      <c r="E209" s="989">
        <f t="shared" si="9"/>
        <v>50</v>
      </c>
    </row>
    <row r="210" spans="1:15" ht="20" customHeight="1">
      <c r="B210" s="86" t="s">
        <v>173</v>
      </c>
      <c r="C210" s="90">
        <v>2075</v>
      </c>
      <c r="D210" s="90">
        <v>1550</v>
      </c>
      <c r="E210" s="989">
        <f t="shared" si="9"/>
        <v>525</v>
      </c>
      <c r="N210" s="917" t="s">
        <v>298</v>
      </c>
      <c r="O210" s="918">
        <f>O204+O208</f>
        <v>2310</v>
      </c>
    </row>
    <row r="211" spans="1:15">
      <c r="B211" s="86" t="s">
        <v>174</v>
      </c>
      <c r="C211" s="90">
        <v>4100</v>
      </c>
      <c r="D211" s="90">
        <v>2215</v>
      </c>
      <c r="E211" s="989">
        <f t="shared" si="9"/>
        <v>1885</v>
      </c>
    </row>
    <row r="212" spans="1:15">
      <c r="A212">
        <v>2005</v>
      </c>
      <c r="B212" s="275" t="s">
        <v>299</v>
      </c>
      <c r="C212" s="91">
        <v>2100</v>
      </c>
      <c r="D212" s="92">
        <v>2660</v>
      </c>
      <c r="E212" s="989">
        <f t="shared" si="9"/>
        <v>-560</v>
      </c>
      <c r="F212">
        <v>2015</v>
      </c>
      <c r="G212" s="275" t="s">
        <v>300</v>
      </c>
      <c r="H212" s="92">
        <v>2265</v>
      </c>
      <c r="I212" s="92">
        <v>1385</v>
      </c>
      <c r="J212" s="904">
        <f t="shared" ref="J212:J243" si="14">H212-I212</f>
        <v>880</v>
      </c>
      <c r="K212">
        <v>2026</v>
      </c>
      <c r="L212" s="275" t="s">
        <v>301</v>
      </c>
      <c r="M212" s="92">
        <v>2895</v>
      </c>
      <c r="N212" s="92">
        <v>3615</v>
      </c>
      <c r="O212" s="904">
        <f>M212-N212</f>
        <v>-720</v>
      </c>
    </row>
    <row r="213" spans="1:15">
      <c r="B213" s="84" t="s">
        <v>164</v>
      </c>
      <c r="C213" s="91">
        <v>1850</v>
      </c>
      <c r="D213" s="92">
        <v>1630</v>
      </c>
      <c r="E213" s="989">
        <f t="shared" si="9"/>
        <v>220</v>
      </c>
      <c r="G213" s="84" t="s">
        <v>164</v>
      </c>
      <c r="H213" s="92">
        <v>2250</v>
      </c>
      <c r="I213" s="92">
        <v>2360</v>
      </c>
      <c r="J213" s="904">
        <f t="shared" si="14"/>
        <v>-110</v>
      </c>
      <c r="L213" s="84" t="s">
        <v>164</v>
      </c>
      <c r="M213" s="92">
        <v>2945</v>
      </c>
      <c r="N213" s="92">
        <v>3680</v>
      </c>
      <c r="O213" s="904">
        <f>M213-N213</f>
        <v>-735</v>
      </c>
    </row>
    <row r="214" spans="1:15">
      <c r="B214" s="84" t="s">
        <v>165</v>
      </c>
      <c r="C214" s="91">
        <v>2100</v>
      </c>
      <c r="D214" s="92">
        <v>2055</v>
      </c>
      <c r="E214" s="989">
        <f t="shared" si="9"/>
        <v>45</v>
      </c>
      <c r="G214" s="84" t="s">
        <v>165</v>
      </c>
      <c r="H214" s="92">
        <v>2245</v>
      </c>
      <c r="I214" s="92">
        <v>1580</v>
      </c>
      <c r="J214" s="904">
        <f t="shared" si="14"/>
        <v>665</v>
      </c>
      <c r="L214" s="84" t="s">
        <v>165</v>
      </c>
      <c r="M214" s="92">
        <v>2955</v>
      </c>
      <c r="N214" s="92"/>
    </row>
    <row r="215" spans="1:15">
      <c r="B215" s="84" t="s">
        <v>166</v>
      </c>
      <c r="C215" s="91">
        <v>2375</v>
      </c>
      <c r="D215" s="92">
        <v>2185</v>
      </c>
      <c r="E215" s="989">
        <f t="shared" si="9"/>
        <v>190</v>
      </c>
      <c r="G215" s="84" t="s">
        <v>166</v>
      </c>
      <c r="H215" s="92">
        <v>2245</v>
      </c>
      <c r="I215" s="92">
        <v>2070</v>
      </c>
      <c r="J215" s="904">
        <f t="shared" si="14"/>
        <v>175</v>
      </c>
      <c r="L215" s="84" t="s">
        <v>166</v>
      </c>
      <c r="M215" s="92"/>
      <c r="N215" s="92"/>
    </row>
    <row r="216" spans="1:15">
      <c r="B216" s="84" t="s">
        <v>167</v>
      </c>
      <c r="C216" s="91">
        <v>12700</v>
      </c>
      <c r="D216" s="92">
        <v>3670</v>
      </c>
      <c r="E216" s="989">
        <f t="shared" si="9"/>
        <v>9030</v>
      </c>
      <c r="G216" s="84" t="s">
        <v>167</v>
      </c>
      <c r="H216" s="92">
        <v>2340</v>
      </c>
      <c r="I216" s="92">
        <v>1590</v>
      </c>
      <c r="J216" s="904">
        <f t="shared" si="14"/>
        <v>750</v>
      </c>
      <c r="L216" s="84" t="s">
        <v>167</v>
      </c>
      <c r="M216" s="92"/>
      <c r="N216" s="92"/>
    </row>
    <row r="217" spans="1:15">
      <c r="B217" s="84" t="s">
        <v>168</v>
      </c>
      <c r="C217" s="91">
        <v>0</v>
      </c>
      <c r="D217" s="92">
        <v>1445</v>
      </c>
      <c r="E217" s="989">
        <f t="shared" si="9"/>
        <v>-1445</v>
      </c>
      <c r="G217" s="84" t="s">
        <v>168</v>
      </c>
      <c r="H217" s="92">
        <v>2330</v>
      </c>
      <c r="I217" s="92">
        <v>2180</v>
      </c>
      <c r="J217" s="904">
        <f t="shared" si="14"/>
        <v>150</v>
      </c>
      <c r="L217" s="84" t="s">
        <v>168</v>
      </c>
      <c r="M217" s="92"/>
      <c r="N217" s="92"/>
    </row>
    <row r="218" spans="1:15">
      <c r="B218" s="84" t="s">
        <v>169</v>
      </c>
      <c r="C218" s="91">
        <v>850</v>
      </c>
      <c r="D218" s="92">
        <v>2400</v>
      </c>
      <c r="E218" s="989">
        <f t="shared" si="9"/>
        <v>-1550</v>
      </c>
      <c r="G218" s="84" t="s">
        <v>169</v>
      </c>
      <c r="H218" s="92">
        <v>2335</v>
      </c>
      <c r="I218" s="92">
        <v>1915</v>
      </c>
      <c r="J218" s="904">
        <f t="shared" si="14"/>
        <v>420</v>
      </c>
      <c r="L218" s="84" t="s">
        <v>169</v>
      </c>
      <c r="M218" s="92"/>
      <c r="N218" s="92"/>
    </row>
    <row r="219" spans="1:15">
      <c r="B219" s="84" t="s">
        <v>170</v>
      </c>
      <c r="C219" s="91">
        <v>875</v>
      </c>
      <c r="D219" s="92">
        <v>2585</v>
      </c>
      <c r="E219" s="989">
        <f t="shared" si="9"/>
        <v>-1710</v>
      </c>
      <c r="G219" s="84" t="s">
        <v>170</v>
      </c>
      <c r="H219" s="92">
        <v>2615</v>
      </c>
      <c r="I219" s="92">
        <v>2565</v>
      </c>
      <c r="J219" s="904">
        <f t="shared" si="14"/>
        <v>50</v>
      </c>
      <c r="L219" s="84" t="s">
        <v>170</v>
      </c>
      <c r="M219" s="92"/>
      <c r="N219" s="92"/>
    </row>
    <row r="220" spans="1:15">
      <c r="B220" s="84" t="s">
        <v>171</v>
      </c>
      <c r="C220" s="91">
        <v>875</v>
      </c>
      <c r="D220" s="92">
        <v>2055</v>
      </c>
      <c r="E220" s="989">
        <f t="shared" si="9"/>
        <v>-1180</v>
      </c>
      <c r="G220" s="84" t="s">
        <v>171</v>
      </c>
      <c r="H220" s="92">
        <v>3350</v>
      </c>
      <c r="I220" s="92">
        <v>1985</v>
      </c>
      <c r="J220" s="904">
        <f t="shared" si="14"/>
        <v>1365</v>
      </c>
      <c r="L220" s="84" t="s">
        <v>171</v>
      </c>
      <c r="M220" s="92"/>
      <c r="N220" s="92"/>
    </row>
    <row r="221" spans="1:15">
      <c r="B221" s="84" t="s">
        <v>172</v>
      </c>
      <c r="C221" s="91">
        <v>875</v>
      </c>
      <c r="D221" s="92">
        <v>1497</v>
      </c>
      <c r="E221" s="989">
        <f t="shared" si="9"/>
        <v>-622</v>
      </c>
      <c r="G221" s="84" t="s">
        <v>172</v>
      </c>
      <c r="H221" s="92">
        <v>2585</v>
      </c>
      <c r="I221" s="92">
        <v>1740</v>
      </c>
      <c r="J221" s="904">
        <f t="shared" si="14"/>
        <v>845</v>
      </c>
      <c r="L221" s="84" t="s">
        <v>172</v>
      </c>
      <c r="M221" s="92"/>
      <c r="N221" s="92"/>
    </row>
    <row r="222" spans="1:15">
      <c r="B222" s="84" t="s">
        <v>173</v>
      </c>
      <c r="C222" s="91">
        <v>12875</v>
      </c>
      <c r="D222" s="92">
        <v>1550</v>
      </c>
      <c r="E222" s="989">
        <f t="shared" si="9"/>
        <v>11325</v>
      </c>
      <c r="G222" s="84" t="s">
        <v>173</v>
      </c>
      <c r="H222" s="92">
        <v>1960</v>
      </c>
      <c r="I222" s="92">
        <v>2305</v>
      </c>
      <c r="J222" s="904">
        <f t="shared" si="14"/>
        <v>-345</v>
      </c>
      <c r="L222" s="84" t="s">
        <v>173</v>
      </c>
      <c r="M222" s="92"/>
      <c r="N222" s="92"/>
    </row>
    <row r="223" spans="1:15">
      <c r="B223" s="84" t="s">
        <v>174</v>
      </c>
      <c r="C223" s="91">
        <v>1000</v>
      </c>
      <c r="D223" s="92">
        <v>2580</v>
      </c>
      <c r="E223" s="989">
        <f t="shared" si="9"/>
        <v>-1580</v>
      </c>
      <c r="G223" s="84" t="s">
        <v>174</v>
      </c>
      <c r="H223" s="92">
        <v>2515</v>
      </c>
      <c r="I223" s="92">
        <v>2515</v>
      </c>
      <c r="J223" s="904">
        <f t="shared" si="14"/>
        <v>0</v>
      </c>
      <c r="L223" s="84" t="s">
        <v>174</v>
      </c>
      <c r="M223" s="92"/>
      <c r="N223" s="92"/>
    </row>
    <row r="224" spans="1:15">
      <c r="A224">
        <v>2006</v>
      </c>
      <c r="B224" s="274" t="s">
        <v>302</v>
      </c>
      <c r="C224" s="90">
        <v>1550</v>
      </c>
      <c r="D224" s="90">
        <v>1535</v>
      </c>
      <c r="E224" s="989">
        <f t="shared" si="9"/>
        <v>15</v>
      </c>
      <c r="F224">
        <v>2016</v>
      </c>
      <c r="G224" s="274" t="s">
        <v>303</v>
      </c>
      <c r="H224" s="90">
        <v>1950</v>
      </c>
      <c r="I224" s="90">
        <v>1820</v>
      </c>
      <c r="J224" s="904">
        <f t="shared" si="14"/>
        <v>130</v>
      </c>
      <c r="K224">
        <v>2027</v>
      </c>
      <c r="L224" s="274" t="s">
        <v>304</v>
      </c>
    </row>
    <row r="225" spans="1:12">
      <c r="B225" s="86" t="s">
        <v>164</v>
      </c>
      <c r="C225" s="90">
        <v>1550</v>
      </c>
      <c r="D225" s="90">
        <v>1990</v>
      </c>
      <c r="E225" s="989">
        <f t="shared" si="9"/>
        <v>-440</v>
      </c>
      <c r="G225" s="86" t="s">
        <v>164</v>
      </c>
      <c r="H225" s="90">
        <v>1865</v>
      </c>
      <c r="I225" s="90">
        <v>2095</v>
      </c>
      <c r="J225" s="904">
        <f t="shared" si="14"/>
        <v>-230</v>
      </c>
      <c r="L225" s="86" t="s">
        <v>164</v>
      </c>
    </row>
    <row r="226" spans="1:12">
      <c r="B226" s="86" t="s">
        <v>165</v>
      </c>
      <c r="C226" s="90">
        <v>1550</v>
      </c>
      <c r="D226" s="90">
        <v>2000</v>
      </c>
      <c r="E226" s="989">
        <f t="shared" si="9"/>
        <v>-450</v>
      </c>
      <c r="G226" s="86" t="s">
        <v>165</v>
      </c>
      <c r="H226" s="90">
        <v>1865</v>
      </c>
      <c r="I226" s="90">
        <v>1650</v>
      </c>
      <c r="J226" s="904">
        <f t="shared" si="14"/>
        <v>215</v>
      </c>
      <c r="L226" s="86" t="s">
        <v>165</v>
      </c>
    </row>
    <row r="227" spans="1:12">
      <c r="B227" s="86" t="s">
        <v>166</v>
      </c>
      <c r="C227" s="90">
        <v>1550</v>
      </c>
      <c r="D227" s="90">
        <v>2240</v>
      </c>
      <c r="E227" s="989">
        <f t="shared" si="9"/>
        <v>-690</v>
      </c>
      <c r="G227" s="86" t="s">
        <v>166</v>
      </c>
      <c r="H227" s="90">
        <v>2625</v>
      </c>
      <c r="I227" s="90">
        <v>4000</v>
      </c>
      <c r="J227" s="904">
        <f t="shared" si="14"/>
        <v>-1375</v>
      </c>
      <c r="L227" s="86" t="s">
        <v>166</v>
      </c>
    </row>
    <row r="228" spans="1:12">
      <c r="B228" s="86" t="s">
        <v>167</v>
      </c>
      <c r="C228" s="90">
        <v>1700</v>
      </c>
      <c r="D228" s="90">
        <v>2245</v>
      </c>
      <c r="E228" s="989">
        <f t="shared" si="9"/>
        <v>-545</v>
      </c>
      <c r="G228" s="86" t="s">
        <v>167</v>
      </c>
      <c r="H228" s="90">
        <v>1900</v>
      </c>
      <c r="I228" s="90">
        <v>1750</v>
      </c>
      <c r="J228" s="904">
        <f t="shared" si="14"/>
        <v>150</v>
      </c>
      <c r="L228" s="86" t="s">
        <v>167</v>
      </c>
    </row>
    <row r="229" spans="1:12">
      <c r="B229" s="86" t="s">
        <v>168</v>
      </c>
      <c r="C229" s="90">
        <v>1550</v>
      </c>
      <c r="D229" s="90">
        <v>2030</v>
      </c>
      <c r="E229" s="989">
        <f t="shared" si="9"/>
        <v>-480</v>
      </c>
      <c r="G229" s="86" t="s">
        <v>168</v>
      </c>
      <c r="H229" s="90">
        <v>2745</v>
      </c>
      <c r="I229" s="89">
        <v>12230</v>
      </c>
      <c r="J229" s="904">
        <f t="shared" si="14"/>
        <v>-9485</v>
      </c>
      <c r="L229" s="86" t="s">
        <v>168</v>
      </c>
    </row>
    <row r="230" spans="1:12">
      <c r="B230" s="86" t="s">
        <v>169</v>
      </c>
      <c r="C230" s="90">
        <v>1550</v>
      </c>
      <c r="D230" s="90">
        <v>2405</v>
      </c>
      <c r="E230" s="989">
        <f t="shared" si="9"/>
        <v>-855</v>
      </c>
      <c r="G230" s="86" t="s">
        <v>169</v>
      </c>
      <c r="H230" s="90">
        <v>3885</v>
      </c>
      <c r="I230" s="90">
        <v>1720</v>
      </c>
      <c r="J230" s="904">
        <f t="shared" si="14"/>
        <v>2165</v>
      </c>
      <c r="L230" s="86" t="s">
        <v>169</v>
      </c>
    </row>
    <row r="231" spans="1:12">
      <c r="B231" s="86" t="s">
        <v>170</v>
      </c>
      <c r="C231" s="90">
        <v>1550</v>
      </c>
      <c r="D231" s="90">
        <v>2085</v>
      </c>
      <c r="E231" s="989">
        <f t="shared" si="9"/>
        <v>-535</v>
      </c>
      <c r="G231" s="86" t="s">
        <v>170</v>
      </c>
      <c r="H231" s="90">
        <v>2300</v>
      </c>
      <c r="I231" s="90">
        <v>2300</v>
      </c>
      <c r="J231" s="904">
        <f t="shared" si="14"/>
        <v>0</v>
      </c>
      <c r="L231" s="86" t="s">
        <v>170</v>
      </c>
    </row>
    <row r="232" spans="1:12">
      <c r="B232" s="86" t="s">
        <v>171</v>
      </c>
      <c r="C232" s="90">
        <v>1550</v>
      </c>
      <c r="D232" s="90">
        <v>2460</v>
      </c>
      <c r="E232" s="989">
        <f t="shared" si="9"/>
        <v>-910</v>
      </c>
      <c r="G232" s="86" t="s">
        <v>171</v>
      </c>
      <c r="H232" s="90">
        <v>2115</v>
      </c>
      <c r="I232" s="90">
        <v>1635</v>
      </c>
      <c r="J232" s="904">
        <f t="shared" si="14"/>
        <v>480</v>
      </c>
      <c r="L232" s="86" t="s">
        <v>171</v>
      </c>
    </row>
    <row r="233" spans="1:12">
      <c r="B233" s="86" t="s">
        <v>172</v>
      </c>
      <c r="C233" s="89">
        <v>16350</v>
      </c>
      <c r="D233" s="90">
        <v>1610</v>
      </c>
      <c r="E233" s="989">
        <f t="shared" si="9"/>
        <v>14740</v>
      </c>
      <c r="G233" s="86" t="s">
        <v>172</v>
      </c>
      <c r="H233" s="90">
        <v>4330</v>
      </c>
      <c r="I233" s="90">
        <v>2000</v>
      </c>
      <c r="J233" s="904">
        <f t="shared" si="14"/>
        <v>2330</v>
      </c>
      <c r="L233" s="86" t="s">
        <v>172</v>
      </c>
    </row>
    <row r="234" spans="1:12">
      <c r="B234" s="86" t="s">
        <v>173</v>
      </c>
      <c r="C234" s="90">
        <v>2400</v>
      </c>
      <c r="D234" s="90">
        <v>1770</v>
      </c>
      <c r="E234" s="989">
        <f t="shared" si="9"/>
        <v>630</v>
      </c>
      <c r="G234" s="86" t="s">
        <v>173</v>
      </c>
      <c r="H234" s="90">
        <v>1935</v>
      </c>
      <c r="I234" s="90">
        <v>1865</v>
      </c>
      <c r="J234" s="904">
        <f t="shared" si="14"/>
        <v>70</v>
      </c>
      <c r="L234" s="86" t="s">
        <v>173</v>
      </c>
    </row>
    <row r="235" spans="1:12">
      <c r="B235" s="86" t="s">
        <v>174</v>
      </c>
      <c r="C235" s="90">
        <v>2000</v>
      </c>
      <c r="D235" s="90">
        <v>2045</v>
      </c>
      <c r="E235" s="989">
        <f t="shared" si="9"/>
        <v>-45</v>
      </c>
      <c r="G235" s="86" t="s">
        <v>174</v>
      </c>
      <c r="H235" s="90">
        <v>4080</v>
      </c>
      <c r="I235" s="90">
        <v>3010</v>
      </c>
      <c r="J235" s="904">
        <f t="shared" si="14"/>
        <v>1070</v>
      </c>
      <c r="L235" s="86" t="s">
        <v>174</v>
      </c>
    </row>
    <row r="236" spans="1:12">
      <c r="A236">
        <v>2007</v>
      </c>
      <c r="B236" s="275" t="s">
        <v>305</v>
      </c>
      <c r="C236" s="92">
        <v>2575</v>
      </c>
      <c r="D236" s="92">
        <v>2345</v>
      </c>
      <c r="E236" s="989">
        <f t="shared" ref="E236:E299" si="15">C236-D236</f>
        <v>230</v>
      </c>
      <c r="F236">
        <v>2017</v>
      </c>
      <c r="G236" s="275" t="s">
        <v>306</v>
      </c>
      <c r="H236" s="92">
        <v>2075</v>
      </c>
      <c r="I236" s="92">
        <v>1835</v>
      </c>
      <c r="J236" s="904">
        <f t="shared" si="14"/>
        <v>240</v>
      </c>
    </row>
    <row r="237" spans="1:12">
      <c r="B237" s="84" t="s">
        <v>164</v>
      </c>
      <c r="C237" s="92">
        <v>2000</v>
      </c>
      <c r="D237" s="92">
        <v>1965</v>
      </c>
      <c r="E237" s="989">
        <f t="shared" si="15"/>
        <v>35</v>
      </c>
      <c r="G237" s="84" t="s">
        <v>164</v>
      </c>
      <c r="H237" s="92">
        <v>1905</v>
      </c>
      <c r="I237" s="92">
        <v>1835</v>
      </c>
      <c r="J237" s="904">
        <f t="shared" si="14"/>
        <v>70</v>
      </c>
    </row>
    <row r="238" spans="1:12">
      <c r="B238" s="84" t="s">
        <v>165</v>
      </c>
      <c r="C238" s="92">
        <v>2000</v>
      </c>
      <c r="D238" s="92">
        <v>1975</v>
      </c>
      <c r="E238" s="989">
        <f t="shared" si="15"/>
        <v>25</v>
      </c>
      <c r="G238" s="84" t="s">
        <v>165</v>
      </c>
      <c r="H238" s="92">
        <v>1915</v>
      </c>
      <c r="I238" s="92">
        <v>1800</v>
      </c>
      <c r="J238" s="904">
        <f t="shared" si="14"/>
        <v>115</v>
      </c>
    </row>
    <row r="239" spans="1:12">
      <c r="B239" s="84" t="s">
        <v>166</v>
      </c>
      <c r="C239" s="92">
        <v>2000</v>
      </c>
      <c r="D239" s="92">
        <v>1920</v>
      </c>
      <c r="E239" s="989">
        <f t="shared" si="15"/>
        <v>80</v>
      </c>
      <c r="G239" s="84" t="s">
        <v>166</v>
      </c>
      <c r="H239" s="92">
        <v>3065</v>
      </c>
      <c r="I239" s="92">
        <v>2495</v>
      </c>
      <c r="J239" s="904">
        <f t="shared" si="14"/>
        <v>570</v>
      </c>
    </row>
    <row r="240" spans="1:12">
      <c r="B240" s="84" t="s">
        <v>167</v>
      </c>
      <c r="C240" s="92">
        <v>2000</v>
      </c>
      <c r="D240" s="92">
        <v>1665</v>
      </c>
      <c r="E240" s="989">
        <f t="shared" si="15"/>
        <v>335</v>
      </c>
      <c r="G240" s="84" t="s">
        <v>167</v>
      </c>
      <c r="H240" s="92">
        <v>1940</v>
      </c>
      <c r="I240" s="92">
        <v>3685</v>
      </c>
      <c r="J240" s="904">
        <f t="shared" si="14"/>
        <v>-1745</v>
      </c>
    </row>
    <row r="241" spans="1:10">
      <c r="B241" s="84" t="s">
        <v>168</v>
      </c>
      <c r="C241" s="92">
        <v>2000</v>
      </c>
      <c r="D241" s="92">
        <v>1780</v>
      </c>
      <c r="E241" s="989">
        <f t="shared" si="15"/>
        <v>220</v>
      </c>
      <c r="G241" s="84" t="s">
        <v>168</v>
      </c>
      <c r="H241" s="92">
        <v>1940</v>
      </c>
      <c r="I241" s="92">
        <v>2175</v>
      </c>
      <c r="J241" s="904">
        <f t="shared" si="14"/>
        <v>-235</v>
      </c>
    </row>
    <row r="242" spans="1:10">
      <c r="B242" s="84" t="s">
        <v>169</v>
      </c>
      <c r="C242" s="92">
        <v>2000</v>
      </c>
      <c r="D242" s="92">
        <v>1915</v>
      </c>
      <c r="E242" s="989">
        <f t="shared" si="15"/>
        <v>85</v>
      </c>
      <c r="G242" s="84" t="s">
        <v>169</v>
      </c>
      <c r="H242" s="92">
        <v>4145</v>
      </c>
      <c r="I242" s="92">
        <v>2275</v>
      </c>
      <c r="J242" s="904">
        <f t="shared" si="14"/>
        <v>1870</v>
      </c>
    </row>
    <row r="243" spans="1:10">
      <c r="B243" s="84" t="s">
        <v>170</v>
      </c>
      <c r="C243" s="92">
        <v>2000</v>
      </c>
      <c r="D243" s="92">
        <v>1970</v>
      </c>
      <c r="E243" s="989">
        <f t="shared" si="15"/>
        <v>30</v>
      </c>
      <c r="G243" s="84" t="s">
        <v>170</v>
      </c>
      <c r="H243" s="92">
        <v>1900</v>
      </c>
      <c r="I243" s="92">
        <v>2100</v>
      </c>
      <c r="J243" s="904">
        <f t="shared" si="14"/>
        <v>-200</v>
      </c>
    </row>
    <row r="244" spans="1:10">
      <c r="B244" s="84" t="s">
        <v>171</v>
      </c>
      <c r="C244" s="92">
        <v>2000</v>
      </c>
      <c r="D244" s="92">
        <v>1975</v>
      </c>
      <c r="E244" s="989">
        <f t="shared" si="15"/>
        <v>25</v>
      </c>
      <c r="G244" s="84" t="s">
        <v>171</v>
      </c>
      <c r="H244" s="92">
        <v>2090</v>
      </c>
      <c r="I244" s="92">
        <v>1980</v>
      </c>
      <c r="J244" s="904">
        <f t="shared" ref="J244:J275" si="16">H244-I244</f>
        <v>110</v>
      </c>
    </row>
    <row r="245" spans="1:10">
      <c r="B245" s="84" t="s">
        <v>172</v>
      </c>
      <c r="C245" s="92">
        <v>2000</v>
      </c>
      <c r="D245" s="92">
        <v>1815</v>
      </c>
      <c r="E245" s="989">
        <f t="shared" si="15"/>
        <v>185</v>
      </c>
      <c r="G245" s="84" t="s">
        <v>172</v>
      </c>
      <c r="H245" s="92">
        <v>4115</v>
      </c>
      <c r="I245" s="92">
        <v>2115</v>
      </c>
      <c r="J245" s="904">
        <f t="shared" si="16"/>
        <v>2000</v>
      </c>
    </row>
    <row r="246" spans="1:10">
      <c r="B246" s="84" t="s">
        <v>173</v>
      </c>
      <c r="C246" s="92">
        <v>2000</v>
      </c>
      <c r="D246" s="92">
        <v>1685</v>
      </c>
      <c r="E246" s="989">
        <f t="shared" si="15"/>
        <v>315</v>
      </c>
      <c r="G246" s="84" t="s">
        <v>173</v>
      </c>
      <c r="H246" s="92">
        <v>1925</v>
      </c>
      <c r="I246" s="92">
        <v>2330</v>
      </c>
      <c r="J246" s="904">
        <f t="shared" si="16"/>
        <v>-405</v>
      </c>
    </row>
    <row r="247" spans="1:10">
      <c r="B247" s="84" t="s">
        <v>174</v>
      </c>
      <c r="C247" s="92">
        <v>4000</v>
      </c>
      <c r="D247" s="92">
        <v>2740</v>
      </c>
      <c r="E247" s="989">
        <f t="shared" si="15"/>
        <v>1260</v>
      </c>
      <c r="G247" s="84" t="s">
        <v>174</v>
      </c>
      <c r="H247" s="92">
        <v>4115</v>
      </c>
      <c r="I247" s="92">
        <v>3115</v>
      </c>
      <c r="J247" s="904">
        <f t="shared" si="16"/>
        <v>1000</v>
      </c>
    </row>
    <row r="248" spans="1:10">
      <c r="A248">
        <v>2008</v>
      </c>
      <c r="B248" s="274" t="s">
        <v>307</v>
      </c>
      <c r="C248" s="90">
        <v>2000</v>
      </c>
      <c r="D248" s="90">
        <v>6345</v>
      </c>
      <c r="E248" s="989">
        <f t="shared" si="15"/>
        <v>-4345</v>
      </c>
      <c r="F248">
        <v>2018</v>
      </c>
      <c r="G248" s="274" t="s">
        <v>308</v>
      </c>
      <c r="H248" s="90">
        <v>1925</v>
      </c>
      <c r="I248" s="90">
        <v>1925</v>
      </c>
      <c r="J248" s="904">
        <f t="shared" si="16"/>
        <v>0</v>
      </c>
    </row>
    <row r="249" spans="1:10">
      <c r="B249" s="86" t="s">
        <v>164</v>
      </c>
      <c r="C249" s="90">
        <v>2000</v>
      </c>
      <c r="D249" s="90">
        <v>4925</v>
      </c>
      <c r="E249" s="989">
        <f t="shared" si="15"/>
        <v>-2925</v>
      </c>
      <c r="G249" s="86" t="s">
        <v>164</v>
      </c>
      <c r="H249" s="90">
        <v>1825</v>
      </c>
      <c r="I249" s="90">
        <v>2335</v>
      </c>
      <c r="J249" s="904">
        <f t="shared" si="16"/>
        <v>-510</v>
      </c>
    </row>
    <row r="250" spans="1:10">
      <c r="B250" s="86" t="s">
        <v>165</v>
      </c>
      <c r="C250" s="90">
        <v>2000</v>
      </c>
      <c r="D250" s="90">
        <v>2340</v>
      </c>
      <c r="E250" s="989">
        <f t="shared" si="15"/>
        <v>-340</v>
      </c>
      <c r="G250" s="86" t="s">
        <v>165</v>
      </c>
      <c r="H250" s="90">
        <v>1945</v>
      </c>
      <c r="I250" s="90">
        <v>2335</v>
      </c>
      <c r="J250" s="904">
        <f t="shared" si="16"/>
        <v>-390</v>
      </c>
    </row>
    <row r="251" spans="1:10">
      <c r="B251" s="86" t="s">
        <v>166</v>
      </c>
      <c r="C251" s="90">
        <v>2000</v>
      </c>
      <c r="D251" s="90">
        <v>1740</v>
      </c>
      <c r="E251" s="989">
        <f t="shared" si="15"/>
        <v>260</v>
      </c>
      <c r="G251" s="86" t="s">
        <v>166</v>
      </c>
      <c r="H251" s="90">
        <v>3160</v>
      </c>
      <c r="I251" s="90">
        <v>2755</v>
      </c>
      <c r="J251" s="904">
        <f t="shared" si="16"/>
        <v>405</v>
      </c>
    </row>
    <row r="252" spans="1:10">
      <c r="B252" s="86" t="s">
        <v>167</v>
      </c>
      <c r="C252" s="90">
        <v>2000</v>
      </c>
      <c r="D252" s="90">
        <v>2210</v>
      </c>
      <c r="E252" s="989">
        <f t="shared" si="15"/>
        <v>-210</v>
      </c>
      <c r="G252" s="86" t="s">
        <v>167</v>
      </c>
      <c r="H252" s="90">
        <v>1950</v>
      </c>
      <c r="I252" s="90">
        <v>2115</v>
      </c>
      <c r="J252" s="904">
        <f t="shared" si="16"/>
        <v>-165</v>
      </c>
    </row>
    <row r="253" spans="1:10">
      <c r="B253" s="86" t="s">
        <v>168</v>
      </c>
      <c r="C253" s="90">
        <v>2100</v>
      </c>
      <c r="D253" s="90">
        <v>1850</v>
      </c>
      <c r="E253" s="989">
        <f t="shared" si="15"/>
        <v>250</v>
      </c>
      <c r="G253" s="86" t="s">
        <v>168</v>
      </c>
      <c r="H253" s="90">
        <v>2230</v>
      </c>
      <c r="I253" s="90">
        <v>4095</v>
      </c>
      <c r="J253" s="904">
        <f t="shared" si="16"/>
        <v>-1865</v>
      </c>
    </row>
    <row r="254" spans="1:10">
      <c r="B254" s="86" t="s">
        <v>169</v>
      </c>
      <c r="C254" s="90">
        <v>2000</v>
      </c>
      <c r="D254" s="90">
        <v>1620</v>
      </c>
      <c r="E254" s="989">
        <f t="shared" si="15"/>
        <v>380</v>
      </c>
      <c r="G254" s="86" t="s">
        <v>169</v>
      </c>
      <c r="H254" s="90">
        <v>4200</v>
      </c>
      <c r="I254" s="90">
        <v>2180</v>
      </c>
      <c r="J254" s="904">
        <f t="shared" si="16"/>
        <v>2020</v>
      </c>
    </row>
    <row r="255" spans="1:10">
      <c r="B255" s="86" t="s">
        <v>170</v>
      </c>
      <c r="C255" s="90">
        <v>2100</v>
      </c>
      <c r="D255" s="90">
        <v>1785</v>
      </c>
      <c r="E255" s="989">
        <f t="shared" si="15"/>
        <v>315</v>
      </c>
      <c r="G255" s="86" t="s">
        <v>170</v>
      </c>
      <c r="H255" s="90">
        <v>1950</v>
      </c>
      <c r="I255" s="90">
        <v>4555</v>
      </c>
      <c r="J255" s="904">
        <f t="shared" si="16"/>
        <v>-2605</v>
      </c>
    </row>
    <row r="256" spans="1:10">
      <c r="B256" s="86" t="s">
        <v>171</v>
      </c>
      <c r="C256" s="90">
        <v>2100</v>
      </c>
      <c r="D256" s="90">
        <v>2230</v>
      </c>
      <c r="E256" s="989">
        <f t="shared" si="15"/>
        <v>-130</v>
      </c>
      <c r="G256" s="86" t="s">
        <v>171</v>
      </c>
      <c r="H256" s="90">
        <v>2125</v>
      </c>
      <c r="I256" s="90">
        <v>2080</v>
      </c>
      <c r="J256" s="904">
        <f t="shared" si="16"/>
        <v>45</v>
      </c>
    </row>
    <row r="257" spans="1:10">
      <c r="B257" s="86" t="s">
        <v>172</v>
      </c>
      <c r="C257" s="90">
        <v>2100</v>
      </c>
      <c r="D257" s="90">
        <v>1950</v>
      </c>
      <c r="E257" s="989">
        <f t="shared" si="15"/>
        <v>150</v>
      </c>
      <c r="G257" s="86" t="s">
        <v>172</v>
      </c>
      <c r="H257" s="90">
        <v>4315</v>
      </c>
      <c r="I257" s="90">
        <v>3305</v>
      </c>
      <c r="J257" s="904">
        <f t="shared" si="16"/>
        <v>1010</v>
      </c>
    </row>
    <row r="258" spans="1:10">
      <c r="B258" s="86" t="s">
        <v>173</v>
      </c>
      <c r="C258" s="90">
        <v>2100</v>
      </c>
      <c r="D258" s="90">
        <v>1970</v>
      </c>
      <c r="E258" s="989">
        <f t="shared" si="15"/>
        <v>130</v>
      </c>
      <c r="G258" s="86" t="s">
        <v>173</v>
      </c>
      <c r="H258" s="90">
        <v>1960</v>
      </c>
      <c r="I258" s="90">
        <v>1950</v>
      </c>
      <c r="J258" s="904">
        <f t="shared" si="16"/>
        <v>10</v>
      </c>
    </row>
    <row r="259" spans="1:10">
      <c r="B259" s="86" t="s">
        <v>174</v>
      </c>
      <c r="C259" s="90">
        <v>4200</v>
      </c>
      <c r="D259" s="90">
        <v>2545</v>
      </c>
      <c r="E259" s="989">
        <f t="shared" si="15"/>
        <v>1655</v>
      </c>
      <c r="G259" s="86" t="s">
        <v>174</v>
      </c>
      <c r="H259" s="90">
        <v>4175</v>
      </c>
      <c r="I259" s="90">
        <v>4505</v>
      </c>
      <c r="J259" s="904">
        <f t="shared" si="16"/>
        <v>-330</v>
      </c>
    </row>
    <row r="260" spans="1:10">
      <c r="A260">
        <v>2009</v>
      </c>
      <c r="B260" s="275" t="s">
        <v>309</v>
      </c>
      <c r="C260" s="92">
        <v>2100</v>
      </c>
      <c r="D260" s="92">
        <v>2580</v>
      </c>
      <c r="E260" s="989">
        <f t="shared" si="15"/>
        <v>-480</v>
      </c>
      <c r="F260">
        <v>2019</v>
      </c>
      <c r="G260" s="273" t="s">
        <v>310</v>
      </c>
      <c r="H260" s="92">
        <v>1950</v>
      </c>
      <c r="I260" s="92">
        <v>3905</v>
      </c>
      <c r="J260" s="904">
        <f t="shared" si="16"/>
        <v>-1955</v>
      </c>
    </row>
    <row r="261" spans="1:10">
      <c r="B261" s="84" t="s">
        <v>164</v>
      </c>
      <c r="C261" s="92">
        <v>2100</v>
      </c>
      <c r="D261" s="92">
        <v>2055</v>
      </c>
      <c r="E261" s="989">
        <f t="shared" si="15"/>
        <v>45</v>
      </c>
      <c r="G261" s="275" t="s">
        <v>164</v>
      </c>
      <c r="H261" s="92">
        <v>1850</v>
      </c>
      <c r="I261" s="92">
        <v>1595</v>
      </c>
      <c r="J261" s="904">
        <f t="shared" si="16"/>
        <v>255</v>
      </c>
    </row>
    <row r="262" spans="1:10">
      <c r="B262" s="84" t="s">
        <v>165</v>
      </c>
      <c r="C262" s="92">
        <v>2100</v>
      </c>
      <c r="D262" s="92">
        <v>1850</v>
      </c>
      <c r="E262" s="989">
        <f t="shared" si="15"/>
        <v>250</v>
      </c>
      <c r="G262" s="275" t="s">
        <v>165</v>
      </c>
      <c r="H262" s="92">
        <v>2000</v>
      </c>
      <c r="I262" s="92">
        <v>1950</v>
      </c>
      <c r="J262" s="904">
        <f t="shared" si="16"/>
        <v>50</v>
      </c>
    </row>
    <row r="263" spans="1:10">
      <c r="B263" s="84" t="s">
        <v>166</v>
      </c>
      <c r="C263" s="93">
        <v>14400</v>
      </c>
      <c r="D263" s="92">
        <v>1560</v>
      </c>
      <c r="E263" s="989">
        <f t="shared" si="15"/>
        <v>12840</v>
      </c>
      <c r="G263" s="275" t="s">
        <v>166</v>
      </c>
      <c r="H263" s="92">
        <v>3105</v>
      </c>
      <c r="I263" s="92">
        <v>2275</v>
      </c>
      <c r="J263" s="904">
        <f t="shared" si="16"/>
        <v>830</v>
      </c>
    </row>
    <row r="264" spans="1:10">
      <c r="B264" s="84" t="s">
        <v>167</v>
      </c>
      <c r="C264" s="92">
        <v>750</v>
      </c>
      <c r="D264" s="92">
        <v>1910</v>
      </c>
      <c r="E264" s="989">
        <f t="shared" si="15"/>
        <v>-1160</v>
      </c>
      <c r="G264" s="275" t="s">
        <v>167</v>
      </c>
      <c r="H264" s="92">
        <v>1950</v>
      </c>
      <c r="I264" s="92">
        <v>1816</v>
      </c>
      <c r="J264" s="904">
        <f t="shared" si="16"/>
        <v>134</v>
      </c>
    </row>
    <row r="265" spans="1:10">
      <c r="B265" s="84" t="s">
        <v>168</v>
      </c>
      <c r="C265" s="92">
        <v>2300</v>
      </c>
      <c r="D265" s="93">
        <v>20480</v>
      </c>
      <c r="E265" s="989">
        <f t="shared" si="15"/>
        <v>-18180</v>
      </c>
      <c r="G265" s="275" t="s">
        <v>168</v>
      </c>
      <c r="H265" s="92">
        <v>1955</v>
      </c>
      <c r="I265" s="92">
        <v>1805</v>
      </c>
      <c r="J265" s="904">
        <f t="shared" si="16"/>
        <v>150</v>
      </c>
    </row>
    <row r="266" spans="1:10">
      <c r="B266" s="84" t="s">
        <v>169</v>
      </c>
      <c r="C266" s="93">
        <v>11550</v>
      </c>
      <c r="D266" s="92">
        <v>2635</v>
      </c>
      <c r="E266" s="989">
        <f t="shared" si="15"/>
        <v>8915</v>
      </c>
      <c r="G266" s="275" t="s">
        <v>169</v>
      </c>
      <c r="H266" s="92">
        <v>4250</v>
      </c>
      <c r="I266" s="92">
        <v>2875</v>
      </c>
      <c r="J266" s="904">
        <f t="shared" si="16"/>
        <v>1375</v>
      </c>
    </row>
    <row r="267" spans="1:10">
      <c r="B267" s="84" t="s">
        <v>170</v>
      </c>
      <c r="C267" s="92">
        <v>5100</v>
      </c>
      <c r="D267" s="92">
        <v>2655</v>
      </c>
      <c r="E267" s="989">
        <f t="shared" si="15"/>
        <v>2445</v>
      </c>
      <c r="G267" s="275" t="s">
        <v>170</v>
      </c>
      <c r="H267" s="92">
        <v>1960</v>
      </c>
      <c r="I267" s="92">
        <v>2940</v>
      </c>
      <c r="J267" s="904">
        <f t="shared" si="16"/>
        <v>-980</v>
      </c>
    </row>
    <row r="268" spans="1:10">
      <c r="B268" s="84" t="s">
        <v>171</v>
      </c>
      <c r="C268" s="92">
        <v>2400</v>
      </c>
      <c r="D268" s="92">
        <v>1760</v>
      </c>
      <c r="E268" s="989">
        <f t="shared" si="15"/>
        <v>640</v>
      </c>
      <c r="G268" s="275" t="s">
        <v>171</v>
      </c>
      <c r="H268" s="92">
        <v>2130</v>
      </c>
      <c r="I268" s="92">
        <v>2130</v>
      </c>
      <c r="J268" s="904">
        <f t="shared" si="16"/>
        <v>0</v>
      </c>
    </row>
    <row r="269" spans="1:10">
      <c r="B269" s="84" t="s">
        <v>172</v>
      </c>
      <c r="C269" s="92">
        <v>4550</v>
      </c>
      <c r="D269" s="92">
        <v>2190</v>
      </c>
      <c r="E269" s="989">
        <f t="shared" si="15"/>
        <v>2360</v>
      </c>
      <c r="G269" s="275" t="s">
        <v>172</v>
      </c>
      <c r="H269" s="92">
        <v>4250</v>
      </c>
      <c r="I269" s="92">
        <v>2685</v>
      </c>
      <c r="J269" s="904">
        <f t="shared" si="16"/>
        <v>1565</v>
      </c>
    </row>
    <row r="270" spans="1:10">
      <c r="B270" s="84" t="s">
        <v>173</v>
      </c>
      <c r="C270" s="92">
        <v>4600</v>
      </c>
      <c r="D270" s="92">
        <v>4360</v>
      </c>
      <c r="E270" s="989">
        <f t="shared" si="15"/>
        <v>240</v>
      </c>
      <c r="G270" s="275" t="s">
        <v>173</v>
      </c>
      <c r="H270" s="92">
        <v>1930</v>
      </c>
      <c r="I270" s="92">
        <v>1830</v>
      </c>
      <c r="J270" s="904">
        <f t="shared" si="16"/>
        <v>100</v>
      </c>
    </row>
    <row r="271" spans="1:10">
      <c r="B271" s="84" t="s">
        <v>174</v>
      </c>
      <c r="C271" s="92">
        <v>5000</v>
      </c>
      <c r="D271" s="92">
        <v>1980</v>
      </c>
      <c r="E271" s="989">
        <f t="shared" si="15"/>
        <v>3020</v>
      </c>
      <c r="G271" s="275" t="s">
        <v>174</v>
      </c>
      <c r="H271" s="92">
        <v>4245</v>
      </c>
      <c r="I271" s="92">
        <v>3295</v>
      </c>
      <c r="J271" s="904">
        <f t="shared" si="16"/>
        <v>950</v>
      </c>
    </row>
    <row r="272" spans="1:10">
      <c r="A272">
        <v>2010</v>
      </c>
      <c r="B272" s="274" t="s">
        <v>311</v>
      </c>
      <c r="C272" s="90">
        <v>4000</v>
      </c>
      <c r="D272" s="90">
        <v>2875</v>
      </c>
      <c r="E272" s="989">
        <f t="shared" si="15"/>
        <v>1125</v>
      </c>
      <c r="F272">
        <v>2020</v>
      </c>
      <c r="G272" s="321" t="s">
        <v>312</v>
      </c>
      <c r="H272" s="90">
        <v>2025</v>
      </c>
      <c r="I272" s="90">
        <v>2020</v>
      </c>
      <c r="J272" s="904">
        <f t="shared" si="16"/>
        <v>5</v>
      </c>
    </row>
    <row r="273" spans="1:10">
      <c r="B273" s="86" t="s">
        <v>164</v>
      </c>
      <c r="C273" s="90">
        <v>4000</v>
      </c>
      <c r="D273" s="90">
        <v>3555</v>
      </c>
      <c r="E273" s="989">
        <f t="shared" si="15"/>
        <v>445</v>
      </c>
      <c r="G273" s="86" t="s">
        <v>164</v>
      </c>
      <c r="H273" s="90">
        <v>1945</v>
      </c>
      <c r="I273" s="90">
        <v>1895</v>
      </c>
      <c r="J273" s="904">
        <f t="shared" si="16"/>
        <v>50</v>
      </c>
    </row>
    <row r="274" spans="1:10">
      <c r="B274" s="86" t="s">
        <v>165</v>
      </c>
      <c r="C274" s="90">
        <v>4445</v>
      </c>
      <c r="D274" s="90">
        <v>4020</v>
      </c>
      <c r="E274" s="989">
        <f t="shared" si="15"/>
        <v>425</v>
      </c>
      <c r="G274" s="86" t="s">
        <v>165</v>
      </c>
      <c r="H274" s="90">
        <v>1945</v>
      </c>
      <c r="I274" s="90">
        <v>1735</v>
      </c>
      <c r="J274" s="904">
        <f t="shared" si="16"/>
        <v>210</v>
      </c>
    </row>
    <row r="275" spans="1:10">
      <c r="B275" s="86" t="s">
        <v>166</v>
      </c>
      <c r="C275" s="90">
        <v>5110</v>
      </c>
      <c r="D275" s="90">
        <v>4075</v>
      </c>
      <c r="E275" s="989">
        <f t="shared" si="15"/>
        <v>1035</v>
      </c>
      <c r="G275" s="86" t="s">
        <v>166</v>
      </c>
      <c r="H275" s="90">
        <v>3275</v>
      </c>
      <c r="I275" s="90">
        <v>1745</v>
      </c>
      <c r="J275" s="904">
        <f t="shared" si="16"/>
        <v>1530</v>
      </c>
    </row>
    <row r="276" spans="1:10">
      <c r="B276" s="86" t="s">
        <v>167</v>
      </c>
      <c r="C276" s="90">
        <v>4220</v>
      </c>
      <c r="D276" s="90">
        <v>1790</v>
      </c>
      <c r="E276" s="989">
        <f t="shared" si="15"/>
        <v>2430</v>
      </c>
      <c r="G276" s="86" t="s">
        <v>167</v>
      </c>
      <c r="H276" s="90">
        <v>1995</v>
      </c>
      <c r="I276" s="90">
        <v>1515</v>
      </c>
      <c r="J276" s="904">
        <f t="shared" ref="J276:J307" si="17">H276-I276</f>
        <v>480</v>
      </c>
    </row>
    <row r="277" spans="1:10">
      <c r="B277" s="86" t="s">
        <v>168</v>
      </c>
      <c r="C277" s="90">
        <v>4445</v>
      </c>
      <c r="D277" s="90">
        <v>7915</v>
      </c>
      <c r="E277" s="989">
        <f t="shared" si="15"/>
        <v>-3470</v>
      </c>
      <c r="G277" s="86" t="s">
        <v>168</v>
      </c>
      <c r="H277" s="90">
        <v>2000</v>
      </c>
      <c r="I277" s="90">
        <v>1865</v>
      </c>
      <c r="J277" s="904">
        <f t="shared" si="17"/>
        <v>135</v>
      </c>
    </row>
    <row r="278" spans="1:10">
      <c r="B278" s="86" t="s">
        <v>169</v>
      </c>
      <c r="C278" s="90">
        <v>3555</v>
      </c>
      <c r="D278" s="90">
        <v>5550</v>
      </c>
      <c r="E278" s="904">
        <f t="shared" si="15"/>
        <v>-1995</v>
      </c>
      <c r="G278" s="86" t="s">
        <v>169</v>
      </c>
      <c r="H278" s="90">
        <v>4345</v>
      </c>
      <c r="I278" s="90">
        <v>4605</v>
      </c>
      <c r="J278" s="904">
        <f t="shared" si="17"/>
        <v>-260</v>
      </c>
    </row>
    <row r="279" spans="1:10">
      <c r="B279" s="86" t="s">
        <v>170</v>
      </c>
      <c r="C279" s="90">
        <v>1955</v>
      </c>
      <c r="D279" s="90">
        <v>2520</v>
      </c>
      <c r="E279" s="904">
        <f t="shared" si="15"/>
        <v>-565</v>
      </c>
      <c r="G279" s="86" t="s">
        <v>170</v>
      </c>
      <c r="H279" s="90">
        <v>2005</v>
      </c>
      <c r="I279" s="90">
        <v>2300</v>
      </c>
      <c r="J279" s="904">
        <f t="shared" si="17"/>
        <v>-295</v>
      </c>
    </row>
    <row r="280" spans="1:10">
      <c r="B280" s="86" t="s">
        <v>171</v>
      </c>
      <c r="C280" s="90">
        <v>2900</v>
      </c>
      <c r="D280" s="90">
        <v>2290</v>
      </c>
      <c r="E280" s="904">
        <f t="shared" si="15"/>
        <v>610</v>
      </c>
      <c r="G280" s="86" t="s">
        <v>171</v>
      </c>
      <c r="H280" s="90">
        <v>2175</v>
      </c>
      <c r="I280" s="90">
        <v>1995</v>
      </c>
      <c r="J280" s="904">
        <f t="shared" si="17"/>
        <v>180</v>
      </c>
    </row>
    <row r="281" spans="1:10">
      <c r="B281" s="86" t="s">
        <v>172</v>
      </c>
      <c r="C281" s="90">
        <v>2150</v>
      </c>
      <c r="D281" s="90">
        <v>2055</v>
      </c>
      <c r="E281" s="904">
        <f t="shared" si="15"/>
        <v>95</v>
      </c>
      <c r="G281" s="86" t="s">
        <v>172</v>
      </c>
      <c r="H281" s="90">
        <v>4275</v>
      </c>
      <c r="I281" s="90">
        <v>2540</v>
      </c>
      <c r="J281" s="904">
        <f t="shared" si="17"/>
        <v>1735</v>
      </c>
    </row>
    <row r="282" spans="1:10">
      <c r="B282" s="86" t="s">
        <v>173</v>
      </c>
      <c r="C282" s="90">
        <v>2150</v>
      </c>
      <c r="D282" s="90">
        <v>2165</v>
      </c>
      <c r="E282" s="904">
        <f t="shared" si="15"/>
        <v>-15</v>
      </c>
      <c r="G282" s="86" t="s">
        <v>173</v>
      </c>
      <c r="H282" s="90">
        <v>1960</v>
      </c>
      <c r="I282" s="90">
        <v>1755</v>
      </c>
      <c r="J282" s="904">
        <f t="shared" si="17"/>
        <v>205</v>
      </c>
    </row>
    <row r="283" spans="1:10">
      <c r="B283" s="86" t="s">
        <v>174</v>
      </c>
      <c r="C283" s="90">
        <v>2150</v>
      </c>
      <c r="D283" s="90">
        <v>2145</v>
      </c>
      <c r="E283" s="904">
        <f t="shared" si="15"/>
        <v>5</v>
      </c>
      <c r="G283" s="86" t="s">
        <v>174</v>
      </c>
      <c r="H283" s="90">
        <v>4300</v>
      </c>
      <c r="I283" s="90">
        <v>3725</v>
      </c>
      <c r="J283" s="904">
        <f t="shared" si="17"/>
        <v>575</v>
      </c>
    </row>
    <row r="284" spans="1:10">
      <c r="A284">
        <v>2011</v>
      </c>
      <c r="B284" s="275" t="s">
        <v>313</v>
      </c>
      <c r="C284" s="92">
        <v>2800</v>
      </c>
      <c r="D284" s="92">
        <v>1910</v>
      </c>
      <c r="E284" s="904">
        <f t="shared" si="15"/>
        <v>890</v>
      </c>
      <c r="F284">
        <v>2022</v>
      </c>
      <c r="G284" s="273" t="s">
        <v>314</v>
      </c>
      <c r="H284" s="92">
        <v>4085</v>
      </c>
      <c r="I284" s="92">
        <v>4045</v>
      </c>
      <c r="J284" s="904">
        <f t="shared" si="17"/>
        <v>40</v>
      </c>
    </row>
    <row r="285" spans="1:10">
      <c r="B285" s="84" t="s">
        <v>164</v>
      </c>
      <c r="C285" s="94">
        <v>0</v>
      </c>
      <c r="D285" s="92">
        <v>2325</v>
      </c>
      <c r="E285" s="904">
        <f t="shared" si="15"/>
        <v>-2325</v>
      </c>
      <c r="G285" s="275" t="s">
        <v>164</v>
      </c>
      <c r="H285" s="92">
        <v>1885</v>
      </c>
      <c r="I285" s="92">
        <v>6470</v>
      </c>
      <c r="J285" s="904">
        <f t="shared" si="17"/>
        <v>-4585</v>
      </c>
    </row>
    <row r="286" spans="1:10">
      <c r="B286" s="84" t="s">
        <v>165</v>
      </c>
      <c r="C286" s="94">
        <v>0</v>
      </c>
      <c r="D286" s="92">
        <v>2075</v>
      </c>
      <c r="E286" s="904">
        <f t="shared" si="15"/>
        <v>-2075</v>
      </c>
      <c r="G286" s="275" t="s">
        <v>165</v>
      </c>
      <c r="H286" s="92">
        <v>1890</v>
      </c>
      <c r="I286" s="92">
        <v>1880</v>
      </c>
      <c r="J286" s="904">
        <f t="shared" si="17"/>
        <v>10</v>
      </c>
    </row>
    <row r="287" spans="1:10">
      <c r="B287" s="84" t="s">
        <v>166</v>
      </c>
      <c r="C287" s="94">
        <v>0</v>
      </c>
      <c r="D287" s="92">
        <v>1630</v>
      </c>
      <c r="E287" s="904">
        <f t="shared" si="15"/>
        <v>-1630</v>
      </c>
      <c r="G287" s="275" t="s">
        <v>166</v>
      </c>
      <c r="H287" s="92">
        <v>9225</v>
      </c>
      <c r="I287" s="92">
        <v>2155</v>
      </c>
      <c r="J287" s="904">
        <f t="shared" si="17"/>
        <v>7070</v>
      </c>
    </row>
    <row r="288" spans="1:10">
      <c r="B288" s="84" t="s">
        <v>167</v>
      </c>
      <c r="C288" s="92">
        <v>1595</v>
      </c>
      <c r="D288" s="92">
        <v>1715</v>
      </c>
      <c r="E288" s="904">
        <f t="shared" si="15"/>
        <v>-120</v>
      </c>
      <c r="G288" s="275" t="s">
        <v>167</v>
      </c>
      <c r="H288" s="92">
        <v>2400</v>
      </c>
      <c r="I288" s="92">
        <v>2451</v>
      </c>
      <c r="J288" s="904">
        <f t="shared" si="17"/>
        <v>-51</v>
      </c>
    </row>
    <row r="289" spans="1:10">
      <c r="B289" s="84" t="s">
        <v>168</v>
      </c>
      <c r="C289" s="92">
        <v>2710</v>
      </c>
      <c r="D289" s="92">
        <v>3850</v>
      </c>
      <c r="E289" s="904">
        <f t="shared" si="15"/>
        <v>-1140</v>
      </c>
      <c r="G289" s="275" t="s">
        <v>168</v>
      </c>
      <c r="H289" s="92">
        <v>1845</v>
      </c>
      <c r="I289" s="92">
        <v>2065</v>
      </c>
      <c r="J289" s="904">
        <f t="shared" si="17"/>
        <v>-220</v>
      </c>
    </row>
    <row r="290" spans="1:10">
      <c r="B290" s="84" t="s">
        <v>169</v>
      </c>
      <c r="C290" s="92">
        <v>1790</v>
      </c>
      <c r="D290" s="92">
        <v>1845</v>
      </c>
      <c r="E290" s="904">
        <f t="shared" si="15"/>
        <v>-55</v>
      </c>
      <c r="G290" s="275" t="s">
        <v>169</v>
      </c>
      <c r="H290" s="92">
        <v>4025</v>
      </c>
      <c r="I290" s="92">
        <v>3040</v>
      </c>
      <c r="J290" s="904">
        <f t="shared" si="17"/>
        <v>985</v>
      </c>
    </row>
    <row r="291" spans="1:10">
      <c r="B291" s="84" t="s">
        <v>170</v>
      </c>
      <c r="C291" s="92">
        <v>1800</v>
      </c>
      <c r="D291" s="92">
        <v>1630</v>
      </c>
      <c r="E291" s="904">
        <f t="shared" si="15"/>
        <v>170</v>
      </c>
      <c r="G291" s="275" t="s">
        <v>170</v>
      </c>
      <c r="H291" s="92">
        <v>2525</v>
      </c>
      <c r="I291" s="92">
        <v>4015</v>
      </c>
      <c r="J291" s="904">
        <f t="shared" si="17"/>
        <v>-1490</v>
      </c>
    </row>
    <row r="292" spans="1:10">
      <c r="B292" s="84" t="s">
        <v>171</v>
      </c>
      <c r="C292" s="92">
        <v>1785</v>
      </c>
      <c r="D292" s="92">
        <v>2080</v>
      </c>
      <c r="E292" s="904">
        <f t="shared" si="15"/>
        <v>-295</v>
      </c>
      <c r="G292" s="275" t="s">
        <v>171</v>
      </c>
      <c r="H292" s="92">
        <v>1880</v>
      </c>
      <c r="I292" s="92">
        <v>4700</v>
      </c>
      <c r="J292" s="904">
        <f t="shared" si="17"/>
        <v>-2820</v>
      </c>
    </row>
    <row r="293" spans="1:10">
      <c r="B293" s="84" t="s">
        <v>172</v>
      </c>
      <c r="C293" s="92">
        <v>1800</v>
      </c>
      <c r="D293" s="92">
        <v>1860</v>
      </c>
      <c r="E293" s="904">
        <f t="shared" si="15"/>
        <v>-60</v>
      </c>
      <c r="G293" s="275" t="s">
        <v>172</v>
      </c>
      <c r="H293" s="92">
        <v>3980</v>
      </c>
      <c r="I293" s="92">
        <v>3545</v>
      </c>
      <c r="J293" s="904">
        <f t="shared" si="17"/>
        <v>435</v>
      </c>
    </row>
    <row r="294" spans="1:10">
      <c r="B294" s="84" t="s">
        <v>173</v>
      </c>
      <c r="C294" s="92">
        <v>1800</v>
      </c>
      <c r="D294" s="92">
        <v>2010</v>
      </c>
      <c r="E294" s="904">
        <f t="shared" si="15"/>
        <v>-210</v>
      </c>
      <c r="G294" s="275" t="s">
        <v>173</v>
      </c>
      <c r="H294" s="92">
        <v>1800</v>
      </c>
      <c r="I294" s="92">
        <v>2165</v>
      </c>
      <c r="J294" s="904">
        <f t="shared" si="17"/>
        <v>-365</v>
      </c>
    </row>
    <row r="295" spans="1:10">
      <c r="B295" s="84" t="s">
        <v>174</v>
      </c>
      <c r="C295" s="92">
        <v>3640</v>
      </c>
      <c r="D295" s="92">
        <v>3640</v>
      </c>
      <c r="E295" s="904">
        <f t="shared" si="15"/>
        <v>0</v>
      </c>
      <c r="G295" s="275" t="s">
        <v>174</v>
      </c>
      <c r="H295" s="92">
        <v>1790</v>
      </c>
      <c r="I295" s="92">
        <v>2140</v>
      </c>
      <c r="J295" s="904">
        <f t="shared" si="17"/>
        <v>-350</v>
      </c>
    </row>
    <row r="296" spans="1:10">
      <c r="A296">
        <v>2012</v>
      </c>
      <c r="B296" s="274" t="s">
        <v>315</v>
      </c>
      <c r="C296" s="90">
        <v>1810</v>
      </c>
      <c r="D296" s="90">
        <v>1875</v>
      </c>
      <c r="E296" s="904">
        <f t="shared" si="15"/>
        <v>-65</v>
      </c>
      <c r="F296">
        <v>2023</v>
      </c>
      <c r="G296" s="321" t="s">
        <v>316</v>
      </c>
      <c r="H296" s="90">
        <v>3900</v>
      </c>
      <c r="I296" s="90">
        <v>3500</v>
      </c>
      <c r="J296" s="904">
        <f t="shared" si="17"/>
        <v>400</v>
      </c>
    </row>
    <row r="297" spans="1:10">
      <c r="B297" s="86" t="s">
        <v>164</v>
      </c>
      <c r="C297" s="90">
        <v>1730</v>
      </c>
      <c r="D297" s="90">
        <v>2690</v>
      </c>
      <c r="E297" s="904">
        <f t="shared" si="15"/>
        <v>-960</v>
      </c>
      <c r="G297" s="86" t="s">
        <v>164</v>
      </c>
      <c r="H297" s="90">
        <v>1790</v>
      </c>
      <c r="I297" s="89">
        <v>10430</v>
      </c>
      <c r="J297" s="904">
        <f t="shared" si="17"/>
        <v>-8640</v>
      </c>
    </row>
    <row r="298" spans="1:10">
      <c r="B298" s="86" t="s">
        <v>165</v>
      </c>
      <c r="C298" s="90">
        <v>1720</v>
      </c>
      <c r="D298" s="90">
        <v>6415</v>
      </c>
      <c r="E298" s="904">
        <f t="shared" si="15"/>
        <v>-4695</v>
      </c>
      <c r="G298" s="86" t="s">
        <v>165</v>
      </c>
      <c r="H298" s="90">
        <v>1770</v>
      </c>
      <c r="I298" s="90">
        <v>1825</v>
      </c>
      <c r="J298" s="904">
        <f t="shared" si="17"/>
        <v>-55</v>
      </c>
    </row>
    <row r="299" spans="1:10">
      <c r="B299" s="86" t="s">
        <v>166</v>
      </c>
      <c r="C299" s="90">
        <v>1695</v>
      </c>
      <c r="D299" s="90">
        <v>1545</v>
      </c>
      <c r="E299" s="904">
        <f t="shared" si="15"/>
        <v>150</v>
      </c>
      <c r="G299" s="86" t="s">
        <v>166</v>
      </c>
      <c r="H299" s="90">
        <v>9700</v>
      </c>
      <c r="I299" s="90">
        <v>6045</v>
      </c>
      <c r="J299" s="904">
        <f t="shared" si="17"/>
        <v>3655</v>
      </c>
    </row>
    <row r="300" spans="1:10">
      <c r="B300" s="86" t="s">
        <v>167</v>
      </c>
      <c r="C300" s="90">
        <v>2420</v>
      </c>
      <c r="D300" s="90">
        <v>1975</v>
      </c>
      <c r="E300" s="904">
        <f t="shared" ref="E300:E331" si="18">C300-D300</f>
        <v>445</v>
      </c>
      <c r="G300" s="86" t="s">
        <v>167</v>
      </c>
      <c r="H300" s="90">
        <v>1830</v>
      </c>
      <c r="I300" s="90">
        <v>2730</v>
      </c>
      <c r="J300" s="904">
        <f t="shared" si="17"/>
        <v>-900</v>
      </c>
    </row>
    <row r="301" spans="1:10">
      <c r="B301" s="86" t="s">
        <v>168</v>
      </c>
      <c r="C301" s="90">
        <v>3480</v>
      </c>
      <c r="D301" s="90">
        <v>1840</v>
      </c>
      <c r="E301" s="904">
        <f t="shared" si="18"/>
        <v>1640</v>
      </c>
      <c r="G301" s="86" t="s">
        <v>168</v>
      </c>
      <c r="H301" s="90">
        <v>1840</v>
      </c>
      <c r="I301" s="90">
        <v>2770</v>
      </c>
      <c r="J301" s="904">
        <f t="shared" si="17"/>
        <v>-930</v>
      </c>
    </row>
    <row r="302" spans="1:10">
      <c r="B302" s="86" t="s">
        <v>169</v>
      </c>
      <c r="C302" s="90">
        <v>1720</v>
      </c>
      <c r="D302" s="90">
        <v>1920</v>
      </c>
      <c r="E302" s="904">
        <f t="shared" si="18"/>
        <v>-200</v>
      </c>
      <c r="G302" s="86" t="s">
        <v>169</v>
      </c>
      <c r="H302" s="90">
        <v>4095</v>
      </c>
      <c r="I302" s="90">
        <v>3575</v>
      </c>
      <c r="J302" s="904">
        <f t="shared" si="17"/>
        <v>520</v>
      </c>
    </row>
    <row r="303" spans="1:10">
      <c r="B303" s="86" t="s">
        <v>170</v>
      </c>
      <c r="C303" s="90">
        <v>1725</v>
      </c>
      <c r="D303" s="90">
        <v>2725</v>
      </c>
      <c r="E303" s="904">
        <f t="shared" si="18"/>
        <v>-1000</v>
      </c>
      <c r="G303" s="86" t="s">
        <v>170</v>
      </c>
      <c r="H303" s="90">
        <v>2915</v>
      </c>
      <c r="I303" s="90">
        <v>3120</v>
      </c>
      <c r="J303" s="904">
        <f t="shared" si="17"/>
        <v>-205</v>
      </c>
    </row>
    <row r="304" spans="1:10">
      <c r="B304" s="86" t="s">
        <v>171</v>
      </c>
      <c r="C304" s="90">
        <v>1700</v>
      </c>
      <c r="D304" s="90">
        <v>2070</v>
      </c>
      <c r="E304" s="904">
        <f t="shared" si="18"/>
        <v>-370</v>
      </c>
      <c r="G304" s="86" t="s">
        <v>171</v>
      </c>
      <c r="H304" s="90">
        <v>1955</v>
      </c>
      <c r="I304" s="90">
        <v>2060</v>
      </c>
      <c r="J304" s="904">
        <f t="shared" si="17"/>
        <v>-105</v>
      </c>
    </row>
    <row r="305" spans="1:12">
      <c r="B305" s="86" t="s">
        <v>172</v>
      </c>
      <c r="C305" s="90">
        <v>1685</v>
      </c>
      <c r="D305" s="90">
        <v>1515</v>
      </c>
      <c r="E305" s="904">
        <f t="shared" si="18"/>
        <v>170</v>
      </c>
      <c r="G305" s="86" t="s">
        <v>172</v>
      </c>
      <c r="H305" s="90">
        <v>4235</v>
      </c>
      <c r="I305" s="90">
        <v>4420</v>
      </c>
      <c r="J305" s="904">
        <f t="shared" si="17"/>
        <v>-185</v>
      </c>
    </row>
    <row r="306" spans="1:12">
      <c r="B306" s="86" t="s">
        <v>173</v>
      </c>
      <c r="C306" s="90">
        <v>1700</v>
      </c>
      <c r="D306" s="90">
        <v>1700</v>
      </c>
      <c r="E306" s="904">
        <f t="shared" si="18"/>
        <v>0</v>
      </c>
      <c r="G306" s="86" t="s">
        <v>173</v>
      </c>
      <c r="H306" s="90">
        <v>1975</v>
      </c>
      <c r="I306" s="90">
        <v>2690</v>
      </c>
      <c r="J306" s="904">
        <f t="shared" si="17"/>
        <v>-715</v>
      </c>
    </row>
    <row r="307" spans="1:12">
      <c r="B307" s="86" t="s">
        <v>174</v>
      </c>
      <c r="C307" s="90">
        <v>3460</v>
      </c>
      <c r="D307" s="90">
        <v>2365</v>
      </c>
      <c r="E307" s="904">
        <f t="shared" si="18"/>
        <v>1095</v>
      </c>
      <c r="G307" s="86" t="s">
        <v>174</v>
      </c>
      <c r="H307" s="90">
        <v>1975</v>
      </c>
      <c r="I307" s="90">
        <v>3275</v>
      </c>
      <c r="J307" s="904">
        <f t="shared" si="17"/>
        <v>-1300</v>
      </c>
    </row>
    <row r="308" spans="1:12">
      <c r="A308">
        <v>2013</v>
      </c>
      <c r="B308" s="275" t="s">
        <v>317</v>
      </c>
      <c r="C308" s="92">
        <v>1685</v>
      </c>
      <c r="D308" s="92">
        <v>1450</v>
      </c>
      <c r="E308" s="904">
        <f t="shared" si="18"/>
        <v>235</v>
      </c>
      <c r="F308">
        <v>2024</v>
      </c>
      <c r="G308" s="273" t="s">
        <v>318</v>
      </c>
      <c r="H308" s="92">
        <v>4300</v>
      </c>
      <c r="I308" s="92">
        <v>4335</v>
      </c>
      <c r="J308" s="904">
        <f t="shared" ref="J308:J331" si="19">H308-I308</f>
        <v>-35</v>
      </c>
    </row>
    <row r="309" spans="1:12">
      <c r="B309" s="84" t="s">
        <v>164</v>
      </c>
      <c r="C309" s="92">
        <v>1720</v>
      </c>
      <c r="D309" s="93">
        <v>11000</v>
      </c>
      <c r="E309" s="904">
        <f t="shared" si="18"/>
        <v>-9280</v>
      </c>
      <c r="F309" s="74"/>
      <c r="G309" s="275" t="s">
        <v>164</v>
      </c>
      <c r="H309" s="92">
        <v>1985</v>
      </c>
      <c r="I309" s="92">
        <v>3365</v>
      </c>
      <c r="J309" s="904">
        <f t="shared" si="19"/>
        <v>-1380</v>
      </c>
    </row>
    <row r="310" spans="1:12">
      <c r="B310" s="84" t="s">
        <v>165</v>
      </c>
      <c r="C310" s="92">
        <v>1700</v>
      </c>
      <c r="D310" s="92">
        <v>1840</v>
      </c>
      <c r="E310" s="904">
        <f t="shared" si="18"/>
        <v>-140</v>
      </c>
      <c r="G310" s="275" t="s">
        <v>165</v>
      </c>
      <c r="H310" s="92">
        <v>2225</v>
      </c>
      <c r="I310" s="92">
        <v>3450</v>
      </c>
      <c r="J310" s="904">
        <f t="shared" si="19"/>
        <v>-1225</v>
      </c>
    </row>
    <row r="311" spans="1:12">
      <c r="B311" s="84" t="s">
        <v>166</v>
      </c>
      <c r="C311" s="92">
        <v>1700</v>
      </c>
      <c r="D311" s="92">
        <v>1595</v>
      </c>
      <c r="E311" s="904">
        <f t="shared" si="18"/>
        <v>105</v>
      </c>
      <c r="G311" s="275" t="s">
        <v>166</v>
      </c>
      <c r="H311" s="92">
        <v>11840</v>
      </c>
      <c r="I311" s="92">
        <v>6925</v>
      </c>
      <c r="J311" s="904">
        <f t="shared" si="19"/>
        <v>4915</v>
      </c>
    </row>
    <row r="312" spans="1:12">
      <c r="B312" s="84" t="s">
        <v>167</v>
      </c>
      <c r="C312" s="92">
        <v>1725</v>
      </c>
      <c r="D312" s="92">
        <v>1640</v>
      </c>
      <c r="E312" s="904">
        <f t="shared" si="18"/>
        <v>85</v>
      </c>
      <c r="G312" s="275" t="s">
        <v>167</v>
      </c>
      <c r="H312" s="92">
        <v>1885</v>
      </c>
      <c r="I312" s="92">
        <v>2325</v>
      </c>
      <c r="J312" s="904">
        <f t="shared" si="19"/>
        <v>-440</v>
      </c>
    </row>
    <row r="313" spans="1:12">
      <c r="B313" s="84" t="s">
        <v>168</v>
      </c>
      <c r="C313" s="92">
        <v>3550</v>
      </c>
      <c r="D313" s="92">
        <v>1480</v>
      </c>
      <c r="E313" s="904">
        <f t="shared" si="18"/>
        <v>2070</v>
      </c>
      <c r="G313" s="275" t="s">
        <v>168</v>
      </c>
      <c r="H313" s="92">
        <v>1870</v>
      </c>
      <c r="I313" s="92">
        <v>3930</v>
      </c>
      <c r="J313" s="904">
        <f t="shared" si="19"/>
        <v>-2060</v>
      </c>
    </row>
    <row r="314" spans="1:12">
      <c r="B314" s="84" t="s">
        <v>169</v>
      </c>
      <c r="C314" s="92">
        <v>1745</v>
      </c>
      <c r="D314" s="92">
        <v>2035</v>
      </c>
      <c r="E314" s="904">
        <f t="shared" si="18"/>
        <v>-290</v>
      </c>
      <c r="G314" s="275" t="s">
        <v>169</v>
      </c>
      <c r="H314" s="92">
        <v>4250</v>
      </c>
      <c r="I314" s="92">
        <v>4330</v>
      </c>
      <c r="J314" s="904">
        <f t="shared" si="19"/>
        <v>-80</v>
      </c>
    </row>
    <row r="315" spans="1:12">
      <c r="B315" s="84" t="s">
        <v>170</v>
      </c>
      <c r="C315" s="92">
        <v>1750</v>
      </c>
      <c r="D315" s="92">
        <v>1750</v>
      </c>
      <c r="E315" s="904">
        <f t="shared" si="18"/>
        <v>0</v>
      </c>
      <c r="G315" s="275" t="s">
        <v>170</v>
      </c>
      <c r="H315" s="92">
        <v>1900</v>
      </c>
      <c r="I315" s="92">
        <v>4870</v>
      </c>
      <c r="J315" s="904">
        <f t="shared" si="19"/>
        <v>-2970</v>
      </c>
    </row>
    <row r="316" spans="1:12">
      <c r="B316" s="84" t="s">
        <v>171</v>
      </c>
      <c r="C316" s="92">
        <v>1825</v>
      </c>
      <c r="D316" s="92">
        <v>1760</v>
      </c>
      <c r="E316" s="904">
        <f t="shared" si="18"/>
        <v>65</v>
      </c>
      <c r="G316" s="275" t="s">
        <v>171</v>
      </c>
      <c r="H316" s="92">
        <v>2120</v>
      </c>
      <c r="I316" s="92">
        <v>2060</v>
      </c>
      <c r="J316" s="904">
        <f t="shared" si="19"/>
        <v>60</v>
      </c>
    </row>
    <row r="317" spans="1:12">
      <c r="B317" s="84" t="s">
        <v>172</v>
      </c>
      <c r="C317" s="92">
        <v>1725</v>
      </c>
      <c r="D317" s="92">
        <v>1700</v>
      </c>
      <c r="E317" s="904">
        <f t="shared" si="18"/>
        <v>25</v>
      </c>
      <c r="G317" s="275" t="s">
        <v>172</v>
      </c>
      <c r="H317" s="92">
        <v>4660</v>
      </c>
      <c r="I317" s="92">
        <v>3400</v>
      </c>
      <c r="J317" s="904">
        <f t="shared" si="19"/>
        <v>1260</v>
      </c>
      <c r="L317" s="905"/>
    </row>
    <row r="318" spans="1:12">
      <c r="B318" s="84" t="s">
        <v>173</v>
      </c>
      <c r="C318" s="92">
        <v>4100</v>
      </c>
      <c r="D318" s="92">
        <v>1770</v>
      </c>
      <c r="E318" s="904">
        <f t="shared" si="18"/>
        <v>2330</v>
      </c>
      <c r="G318" s="275" t="s">
        <v>173</v>
      </c>
      <c r="H318" s="92">
        <v>5240</v>
      </c>
      <c r="I318" s="92">
        <v>5200</v>
      </c>
      <c r="J318" s="904">
        <f t="shared" si="19"/>
        <v>40</v>
      </c>
    </row>
    <row r="319" spans="1:12">
      <c r="B319" s="84" t="s">
        <v>174</v>
      </c>
      <c r="C319" s="92">
        <v>2650</v>
      </c>
      <c r="D319" s="92">
        <v>2115</v>
      </c>
      <c r="E319" s="904">
        <f t="shared" si="18"/>
        <v>535</v>
      </c>
      <c r="G319" s="275" t="s">
        <v>174</v>
      </c>
      <c r="H319" s="92">
        <v>1875</v>
      </c>
      <c r="I319" s="92">
        <v>4518</v>
      </c>
      <c r="J319" s="904">
        <f t="shared" si="19"/>
        <v>-2643</v>
      </c>
      <c r="L319" s="904"/>
    </row>
    <row r="320" spans="1:12">
      <c r="A320">
        <v>2014</v>
      </c>
      <c r="B320" s="274" t="s">
        <v>319</v>
      </c>
      <c r="C320" s="90">
        <v>2725</v>
      </c>
      <c r="D320" s="90">
        <v>1450</v>
      </c>
      <c r="E320" s="904">
        <f t="shared" si="18"/>
        <v>1275</v>
      </c>
      <c r="F320">
        <v>2025</v>
      </c>
      <c r="G320" s="321" t="s">
        <v>320</v>
      </c>
      <c r="H320" s="89">
        <v>4440</v>
      </c>
      <c r="I320" s="89">
        <v>4510</v>
      </c>
      <c r="J320" s="904">
        <f t="shared" si="19"/>
        <v>-70</v>
      </c>
    </row>
    <row r="321" spans="2:15">
      <c r="B321" s="86" t="s">
        <v>164</v>
      </c>
      <c r="C321" s="90">
        <v>2175</v>
      </c>
      <c r="D321" s="90">
        <v>1445</v>
      </c>
      <c r="E321" s="904">
        <f t="shared" si="18"/>
        <v>730</v>
      </c>
      <c r="G321" s="86" t="s">
        <v>164</v>
      </c>
      <c r="H321" s="89">
        <v>3835</v>
      </c>
      <c r="I321" s="89">
        <v>3795</v>
      </c>
      <c r="J321" s="904">
        <f t="shared" si="19"/>
        <v>40</v>
      </c>
    </row>
    <row r="322" spans="2:15">
      <c r="B322" s="86" t="s">
        <v>165</v>
      </c>
      <c r="C322" s="90">
        <v>2275</v>
      </c>
      <c r="D322" s="90">
        <v>3845</v>
      </c>
      <c r="E322" s="904">
        <f t="shared" si="18"/>
        <v>-1570</v>
      </c>
      <c r="G322" s="86" t="s">
        <v>165</v>
      </c>
      <c r="H322" s="89">
        <v>2785</v>
      </c>
      <c r="I322" s="89">
        <v>3876</v>
      </c>
      <c r="J322" s="904">
        <f t="shared" si="19"/>
        <v>-1091</v>
      </c>
    </row>
    <row r="323" spans="2:15">
      <c r="B323" s="86" t="s">
        <v>166</v>
      </c>
      <c r="C323" s="90">
        <v>2275</v>
      </c>
      <c r="D323" s="90">
        <v>1515</v>
      </c>
      <c r="E323" s="904">
        <f t="shared" si="18"/>
        <v>760</v>
      </c>
      <c r="G323" s="86" t="s">
        <v>166</v>
      </c>
      <c r="H323" s="89">
        <v>12200</v>
      </c>
      <c r="I323" s="89">
        <v>6665</v>
      </c>
      <c r="J323" s="904">
        <f t="shared" si="19"/>
        <v>5535</v>
      </c>
    </row>
    <row r="324" spans="2:15">
      <c r="B324" s="86" t="s">
        <v>167</v>
      </c>
      <c r="C324" s="90">
        <v>2275</v>
      </c>
      <c r="D324" s="90">
        <v>1800</v>
      </c>
      <c r="E324" s="904">
        <f t="shared" si="18"/>
        <v>475</v>
      </c>
      <c r="G324" s="86" t="s">
        <v>167</v>
      </c>
      <c r="H324" s="89">
        <v>3070</v>
      </c>
      <c r="I324" s="89">
        <v>3765</v>
      </c>
      <c r="J324" s="904">
        <f t="shared" si="19"/>
        <v>-695</v>
      </c>
    </row>
    <row r="325" spans="2:15">
      <c r="B325" s="86" t="s">
        <v>168</v>
      </c>
      <c r="C325" s="90">
        <v>2060</v>
      </c>
      <c r="D325" s="90">
        <v>2335</v>
      </c>
      <c r="E325" s="904">
        <f t="shared" si="18"/>
        <v>-275</v>
      </c>
      <c r="G325" s="86" t="s">
        <v>168</v>
      </c>
      <c r="H325" s="89">
        <v>2780</v>
      </c>
      <c r="I325" s="89">
        <v>3865</v>
      </c>
      <c r="J325" s="904">
        <f t="shared" si="19"/>
        <v>-1085</v>
      </c>
    </row>
    <row r="326" spans="2:15">
      <c r="B326" s="86" t="s">
        <v>169</v>
      </c>
      <c r="C326" s="90">
        <v>2060</v>
      </c>
      <c r="D326" s="90">
        <v>3280</v>
      </c>
      <c r="E326" s="904">
        <f t="shared" si="18"/>
        <v>-1220</v>
      </c>
      <c r="G326" s="86" t="s">
        <v>169</v>
      </c>
      <c r="H326" s="89">
        <v>2755</v>
      </c>
      <c r="I326" s="89">
        <v>3575</v>
      </c>
      <c r="J326" s="904">
        <f t="shared" si="19"/>
        <v>-820</v>
      </c>
    </row>
    <row r="327" spans="2:15">
      <c r="B327" s="86" t="s">
        <v>170</v>
      </c>
      <c r="C327" s="90">
        <v>2125</v>
      </c>
      <c r="D327" s="90">
        <v>2055</v>
      </c>
      <c r="E327" s="904">
        <f t="shared" si="18"/>
        <v>70</v>
      </c>
      <c r="G327" s="86" t="s">
        <v>170</v>
      </c>
      <c r="H327" s="89">
        <v>2795</v>
      </c>
      <c r="I327" s="89">
        <v>3775</v>
      </c>
      <c r="J327" s="904">
        <f t="shared" si="19"/>
        <v>-980</v>
      </c>
    </row>
    <row r="328" spans="2:15">
      <c r="B328" s="86" t="s">
        <v>171</v>
      </c>
      <c r="C328" s="90">
        <v>2130</v>
      </c>
      <c r="D328" s="90">
        <v>2040</v>
      </c>
      <c r="E328" s="904">
        <f t="shared" si="18"/>
        <v>90</v>
      </c>
      <c r="G328" s="86" t="s">
        <v>171</v>
      </c>
      <c r="H328" s="89">
        <v>2795</v>
      </c>
      <c r="I328" s="89">
        <v>3640</v>
      </c>
      <c r="J328" s="904">
        <f t="shared" si="19"/>
        <v>-845</v>
      </c>
    </row>
    <row r="329" spans="2:15">
      <c r="B329" s="86" t="s">
        <v>172</v>
      </c>
      <c r="C329" s="90">
        <v>1995</v>
      </c>
      <c r="D329" s="90">
        <v>1610</v>
      </c>
      <c r="E329" s="904">
        <f t="shared" si="18"/>
        <v>385</v>
      </c>
      <c r="G329" s="86" t="s">
        <v>172</v>
      </c>
      <c r="H329" s="89">
        <v>2920</v>
      </c>
      <c r="I329" s="89">
        <v>3395</v>
      </c>
      <c r="J329" s="904">
        <f t="shared" si="19"/>
        <v>-475</v>
      </c>
    </row>
    <row r="330" spans="2:15">
      <c r="B330" s="86" t="s">
        <v>173</v>
      </c>
      <c r="C330" s="90">
        <v>2080</v>
      </c>
      <c r="D330" s="90">
        <v>8715</v>
      </c>
      <c r="E330" s="904">
        <f t="shared" si="18"/>
        <v>-6635</v>
      </c>
      <c r="G330" s="86" t="s">
        <v>173</v>
      </c>
      <c r="H330" s="89">
        <v>2900</v>
      </c>
      <c r="I330" s="89">
        <v>4050</v>
      </c>
      <c r="J330" s="904">
        <f t="shared" si="19"/>
        <v>-1150</v>
      </c>
    </row>
    <row r="331" spans="2:15">
      <c r="B331" s="86" t="s">
        <v>174</v>
      </c>
      <c r="C331" s="90">
        <v>3690</v>
      </c>
      <c r="D331" s="90">
        <v>3000</v>
      </c>
      <c r="E331" s="904">
        <f t="shared" si="18"/>
        <v>690</v>
      </c>
      <c r="G331" s="86" t="s">
        <v>174</v>
      </c>
      <c r="H331" s="89">
        <v>2925</v>
      </c>
      <c r="I331" s="89">
        <v>3675</v>
      </c>
      <c r="J331" s="904">
        <f t="shared" si="19"/>
        <v>-750</v>
      </c>
    </row>
    <row r="333" spans="2:15" ht="16" customHeight="1">
      <c r="C333" s="95" t="s">
        <v>65</v>
      </c>
      <c r="D333" s="95" t="s">
        <v>67</v>
      </c>
      <c r="E333" s="989">
        <f>SUM(E44:E331)</f>
        <v>21010.39</v>
      </c>
      <c r="H333" s="95" t="s">
        <v>65</v>
      </c>
      <c r="I333" s="95" t="s">
        <v>67</v>
      </c>
      <c r="J333" s="904">
        <f>SUM(J212:J331)</f>
        <v>-8341</v>
      </c>
      <c r="M333" s="95" t="s">
        <v>65</v>
      </c>
      <c r="N333" s="95" t="s">
        <v>67</v>
      </c>
      <c r="O333" s="904">
        <f>SUM(O212:O331)</f>
        <v>-1455</v>
      </c>
    </row>
    <row r="429" s="74" customFormat="1"/>
  </sheetData>
  <conditionalFormatting sqref="C8:AA8 M13:AA13">
    <cfRule type="cellIs" dxfId="34" priority="4" operator="lessThan">
      <formula>0</formula>
    </cfRule>
  </conditionalFormatting>
  <conditionalFormatting sqref="J212:J331">
    <cfRule type="cellIs" dxfId="33" priority="2" operator="greaterThan">
      <formula>0</formula>
    </cfRule>
  </conditionalFormatting>
  <conditionalFormatting sqref="O212:O235">
    <cfRule type="cellIs" dxfId="32" priority="1" operator="greaterThan">
      <formula>0</formula>
    </cfRule>
  </conditionalFormatting>
  <pageMargins left="0.7" right="0.7" top="0.75" bottom="0.75" header="0.51180555555555496" footer="0.51180555555555496"/>
  <pageSetup firstPageNumber="0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O193"/>
  <sheetViews>
    <sheetView showGridLines="0" zoomScale="150" zoomScaleNormal="150" workbookViewId="0">
      <pane ySplit="4" topLeftCell="A5" activePane="bottomLeft" state="frozen"/>
      <selection pane="bottomLeft" activeCell="N16" sqref="N16"/>
    </sheetView>
  </sheetViews>
  <sheetFormatPr baseColWidth="10" defaultColWidth="11.5" defaultRowHeight="12.75" customHeight="1"/>
  <cols>
    <col min="1" max="1" width="4.1640625" customWidth="1"/>
    <col min="2" max="2" width="7.6640625" style="74" bestFit="1" customWidth="1"/>
    <col min="3" max="3" width="31.83203125" style="74" bestFit="1" customWidth="1"/>
    <col min="4" max="4" width="10.5" style="74" bestFit="1" customWidth="1"/>
    <col min="5" max="5" width="6.1640625" style="74" bestFit="1" customWidth="1"/>
    <col min="6" max="6" width="6" style="74" customWidth="1"/>
    <col min="7" max="7" width="5.1640625" style="74" bestFit="1" customWidth="1"/>
    <col min="8" max="8" width="5.33203125" style="74" bestFit="1" customWidth="1"/>
    <col min="9" max="9" width="9.83203125" style="74" bestFit="1" customWidth="1"/>
    <col min="10" max="10" width="8" style="74" bestFit="1" customWidth="1"/>
    <col min="11" max="11" width="9" style="74" bestFit="1" customWidth="1"/>
  </cols>
  <sheetData>
    <row r="4" spans="2:11" s="623" customFormat="1" ht="28" customHeight="1">
      <c r="B4" s="625" t="s">
        <v>321</v>
      </c>
      <c r="C4" s="625" t="s">
        <v>322</v>
      </c>
      <c r="D4" s="625" t="s">
        <v>323</v>
      </c>
      <c r="E4" s="625" t="s">
        <v>324</v>
      </c>
      <c r="F4" s="628" t="s">
        <v>325</v>
      </c>
      <c r="G4" s="626" t="s">
        <v>326</v>
      </c>
      <c r="H4" s="630" t="s">
        <v>327</v>
      </c>
      <c r="I4" s="627" t="s">
        <v>328</v>
      </c>
      <c r="J4" s="629" t="s">
        <v>329</v>
      </c>
      <c r="K4" s="625" t="s">
        <v>93</v>
      </c>
    </row>
    <row r="5" spans="2:11" ht="13" customHeight="1">
      <c r="B5" s="661"/>
      <c r="C5" s="633"/>
      <c r="D5" s="638"/>
      <c r="E5" s="638"/>
      <c r="F5" s="638"/>
      <c r="G5" s="642"/>
      <c r="H5" s="643"/>
      <c r="I5" s="644"/>
      <c r="J5" s="644"/>
      <c r="K5" s="645"/>
    </row>
    <row r="6" spans="2:11" ht="13" customHeight="1">
      <c r="B6" s="661"/>
      <c r="C6" s="633"/>
      <c r="D6" s="638"/>
      <c r="E6" s="638"/>
      <c r="F6" s="638"/>
      <c r="G6" s="642"/>
      <c r="H6" s="643"/>
      <c r="I6" s="644"/>
      <c r="J6" s="644"/>
      <c r="K6" s="645"/>
    </row>
    <row r="7" spans="2:11" ht="13" customHeight="1">
      <c r="B7" s="661"/>
      <c r="C7" s="633"/>
      <c r="D7" s="638"/>
      <c r="E7" s="638"/>
      <c r="F7" s="638"/>
      <c r="G7" s="642"/>
      <c r="H7" s="643"/>
      <c r="I7" s="644"/>
      <c r="J7" s="644"/>
      <c r="K7" s="645"/>
    </row>
    <row r="8" spans="2:11" ht="13" customHeight="1">
      <c r="B8" s="661"/>
      <c r="C8" s="633"/>
      <c r="D8" s="638"/>
      <c r="E8" s="638"/>
      <c r="F8" s="638"/>
      <c r="G8" s="642"/>
      <c r="H8" s="643"/>
      <c r="I8" s="644"/>
      <c r="J8" s="644"/>
      <c r="K8" s="645"/>
    </row>
    <row r="9" spans="2:11" ht="13" customHeight="1">
      <c r="B9" s="661"/>
      <c r="C9" s="633"/>
      <c r="D9" s="638"/>
      <c r="E9" s="638"/>
      <c r="F9" s="638"/>
      <c r="G9" s="642"/>
      <c r="H9" s="643"/>
      <c r="I9" s="644"/>
      <c r="J9" s="644"/>
      <c r="K9" s="645"/>
    </row>
    <row r="10" spans="2:11" ht="13" customHeight="1">
      <c r="B10" s="661"/>
      <c r="C10" s="633"/>
      <c r="D10" s="638"/>
      <c r="E10" s="638"/>
      <c r="F10" s="638"/>
      <c r="G10" s="642"/>
      <c r="H10" s="643"/>
      <c r="I10" s="644"/>
      <c r="J10" s="644"/>
      <c r="K10" s="645"/>
    </row>
    <row r="11" spans="2:11" ht="13" customHeight="1">
      <c r="B11" s="661"/>
      <c r="C11" s="633"/>
      <c r="D11" s="638"/>
      <c r="E11" s="638"/>
      <c r="F11" s="638"/>
      <c r="G11" s="642"/>
      <c r="H11" s="643"/>
      <c r="I11" s="644"/>
      <c r="J11" s="644"/>
      <c r="K11" s="645"/>
    </row>
    <row r="12" spans="2:11" ht="13" customHeight="1">
      <c r="B12" s="661"/>
      <c r="C12" s="633"/>
      <c r="D12" s="638"/>
      <c r="E12" s="638"/>
      <c r="F12" s="638"/>
      <c r="G12" s="642"/>
      <c r="H12" s="643"/>
      <c r="I12" s="644"/>
      <c r="J12" s="644"/>
      <c r="K12" s="645"/>
    </row>
    <row r="13" spans="2:11" ht="13" customHeight="1">
      <c r="B13" s="661"/>
      <c r="C13" s="633"/>
      <c r="D13" s="638"/>
      <c r="E13" s="638"/>
      <c r="F13" s="638"/>
      <c r="G13" s="642"/>
      <c r="H13" s="643"/>
      <c r="I13" s="644"/>
      <c r="J13" s="644"/>
      <c r="K13" s="645"/>
    </row>
    <row r="14" spans="2:11" ht="13" customHeight="1">
      <c r="B14" s="661"/>
      <c r="C14" s="633"/>
      <c r="D14" s="638"/>
      <c r="E14" s="638"/>
      <c r="F14" s="638"/>
      <c r="G14" s="642"/>
      <c r="H14" s="643"/>
      <c r="I14" s="644"/>
      <c r="J14" s="644"/>
      <c r="K14" s="645"/>
    </row>
    <row r="15" spans="2:11" ht="13" customHeight="1">
      <c r="B15" s="661"/>
      <c r="C15" s="633"/>
      <c r="D15" s="638"/>
      <c r="E15" s="638"/>
      <c r="F15" s="638"/>
      <c r="G15" s="642"/>
      <c r="H15" s="643"/>
      <c r="I15" s="644"/>
      <c r="J15" s="644"/>
      <c r="K15" s="645"/>
    </row>
    <row r="16" spans="2:11" ht="13" customHeight="1">
      <c r="B16" s="661"/>
      <c r="C16" s="633"/>
      <c r="D16" s="638"/>
      <c r="E16" s="638"/>
      <c r="F16" s="638"/>
      <c r="G16" s="642"/>
      <c r="H16" s="643"/>
      <c r="I16" s="644"/>
      <c r="J16" s="644"/>
      <c r="K16" s="645"/>
    </row>
    <row r="17" spans="2:15" ht="13" customHeight="1">
      <c r="B17" s="661"/>
      <c r="C17" s="633"/>
      <c r="D17" s="638"/>
      <c r="E17" s="638"/>
      <c r="F17" s="638"/>
      <c r="G17" s="642"/>
      <c r="H17" s="643"/>
      <c r="I17" s="644"/>
      <c r="J17" s="644"/>
      <c r="K17" s="645"/>
    </row>
    <row r="18" spans="2:15" ht="13" customHeight="1">
      <c r="B18" s="661"/>
      <c r="C18" s="633"/>
      <c r="D18" s="638"/>
      <c r="E18" s="638"/>
      <c r="F18" s="638"/>
      <c r="G18" s="642"/>
      <c r="H18" s="643"/>
      <c r="I18" s="644"/>
      <c r="J18" s="644"/>
      <c r="K18" s="645"/>
    </row>
    <row r="19" spans="2:15" ht="13" customHeight="1">
      <c r="B19" s="661"/>
      <c r="C19" s="633"/>
      <c r="D19" s="638"/>
      <c r="E19" s="638"/>
      <c r="F19" s="638"/>
      <c r="G19" s="642"/>
      <c r="H19" s="643"/>
      <c r="I19" s="644"/>
      <c r="J19" s="644"/>
      <c r="K19" s="645"/>
    </row>
    <row r="20" spans="2:15" ht="13" customHeight="1">
      <c r="B20" s="661">
        <v>46113</v>
      </c>
      <c r="C20" s="954" t="s">
        <v>338</v>
      </c>
      <c r="D20" s="638" t="s">
        <v>339</v>
      </c>
      <c r="E20" s="638" t="s">
        <v>332</v>
      </c>
      <c r="F20" s="659" t="s">
        <v>333</v>
      </c>
      <c r="G20" s="642">
        <v>5</v>
      </c>
      <c r="H20" s="643">
        <v>34.9</v>
      </c>
      <c r="I20" s="644">
        <f>H20*G20</f>
        <v>174.5</v>
      </c>
      <c r="J20" s="644">
        <v>-10.3</v>
      </c>
      <c r="K20" s="645">
        <f>-I20+J20</f>
        <v>-184.8</v>
      </c>
    </row>
    <row r="21" spans="2:15" ht="13" customHeight="1">
      <c r="B21" s="661">
        <v>46113</v>
      </c>
      <c r="C21" s="954" t="s">
        <v>377</v>
      </c>
      <c r="D21" s="638" t="s">
        <v>378</v>
      </c>
      <c r="E21" s="638" t="s">
        <v>332</v>
      </c>
      <c r="F21" s="660" t="s">
        <v>333</v>
      </c>
      <c r="G21" s="642">
        <v>5</v>
      </c>
      <c r="H21" s="643">
        <v>112.35</v>
      </c>
      <c r="I21" s="644">
        <f>H21*G21</f>
        <v>561.75</v>
      </c>
      <c r="J21" s="644">
        <v>-11</v>
      </c>
      <c r="K21" s="645">
        <f>-I21+J21</f>
        <v>-572.75</v>
      </c>
    </row>
    <row r="22" spans="2:15" ht="13" customHeight="1">
      <c r="B22" s="661">
        <v>46099</v>
      </c>
      <c r="C22" s="633" t="s">
        <v>368</v>
      </c>
      <c r="D22" s="638" t="s">
        <v>369</v>
      </c>
      <c r="E22" s="638" t="s">
        <v>358</v>
      </c>
      <c r="F22" s="638" t="s">
        <v>370</v>
      </c>
      <c r="G22" s="642">
        <v>5</v>
      </c>
      <c r="H22" s="643">
        <v>23.59</v>
      </c>
      <c r="I22" s="644">
        <f>H22*G22</f>
        <v>117.95</v>
      </c>
      <c r="J22" s="644">
        <v>-3.9</v>
      </c>
      <c r="K22" s="645">
        <f>-I22+J22</f>
        <v>-121.85000000000001</v>
      </c>
    </row>
    <row r="23" spans="2:15" ht="13" customHeight="1">
      <c r="B23" s="661">
        <v>46099</v>
      </c>
      <c r="C23" s="770" t="s">
        <v>388</v>
      </c>
      <c r="D23" s="638" t="s">
        <v>389</v>
      </c>
      <c r="E23" s="638" t="s">
        <v>342</v>
      </c>
      <c r="F23" s="638" t="s">
        <v>343</v>
      </c>
      <c r="G23" s="642">
        <v>5</v>
      </c>
      <c r="H23" s="643">
        <v>80.765000000000001</v>
      </c>
      <c r="I23" s="644">
        <f>H23*G23</f>
        <v>403.82499999999999</v>
      </c>
      <c r="J23" s="644">
        <v>-3</v>
      </c>
      <c r="K23" s="645">
        <f>-I23+J23</f>
        <v>-406.82499999999999</v>
      </c>
    </row>
    <row r="24" spans="2:15" ht="13" customHeight="1">
      <c r="B24" s="661">
        <v>46099</v>
      </c>
      <c r="C24" s="633" t="s">
        <v>356</v>
      </c>
      <c r="D24" s="638" t="s">
        <v>357</v>
      </c>
      <c r="E24" s="638" t="s">
        <v>358</v>
      </c>
      <c r="F24" s="638" t="s">
        <v>359</v>
      </c>
      <c r="G24" s="642">
        <v>5</v>
      </c>
      <c r="H24" s="643">
        <v>59.18</v>
      </c>
      <c r="I24" s="644">
        <f>H24*G24</f>
        <v>295.89999999999998</v>
      </c>
      <c r="J24" s="644">
        <v>-3</v>
      </c>
      <c r="K24" s="645">
        <f>-I24+J24</f>
        <v>-298.89999999999998</v>
      </c>
    </row>
    <row r="25" spans="2:15" ht="13" customHeight="1">
      <c r="B25" s="661">
        <v>46099</v>
      </c>
      <c r="C25" s="634" t="s">
        <v>379</v>
      </c>
      <c r="D25" s="631" t="s">
        <v>380</v>
      </c>
      <c r="E25" s="631" t="s">
        <v>336</v>
      </c>
      <c r="F25" s="631" t="s">
        <v>337</v>
      </c>
      <c r="G25" s="642">
        <v>5</v>
      </c>
      <c r="H25" s="643">
        <v>33.64</v>
      </c>
      <c r="I25" s="644">
        <f>H25*G25</f>
        <v>168.2</v>
      </c>
      <c r="J25" s="644">
        <v>-3.9</v>
      </c>
      <c r="K25" s="645">
        <f>-I25+J25</f>
        <v>-172.1</v>
      </c>
    </row>
    <row r="26" spans="2:15" ht="13" customHeight="1">
      <c r="B26" s="661">
        <v>46075</v>
      </c>
      <c r="C26" s="954" t="s">
        <v>330</v>
      </c>
      <c r="D26" s="638" t="s">
        <v>331</v>
      </c>
      <c r="E26" s="638" t="s">
        <v>332</v>
      </c>
      <c r="F26" s="660" t="s">
        <v>333</v>
      </c>
      <c r="G26" s="642">
        <v>5</v>
      </c>
      <c r="H26" s="643">
        <v>33.54</v>
      </c>
      <c r="I26" s="644">
        <f>H26*G26</f>
        <v>167.7</v>
      </c>
      <c r="J26" s="644">
        <v>-10.3</v>
      </c>
      <c r="K26" s="645">
        <f>-I26+J26</f>
        <v>-178</v>
      </c>
    </row>
    <row r="27" spans="2:15" ht="13" customHeight="1">
      <c r="B27" s="661">
        <v>46065</v>
      </c>
      <c r="C27" s="633" t="s">
        <v>334</v>
      </c>
      <c r="D27" s="638" t="s">
        <v>335</v>
      </c>
      <c r="E27" s="638" t="s">
        <v>336</v>
      </c>
      <c r="F27" s="638" t="s">
        <v>337</v>
      </c>
      <c r="G27" s="642">
        <v>5</v>
      </c>
      <c r="H27" s="643">
        <v>20.61</v>
      </c>
      <c r="I27" s="644">
        <f>H27*G27</f>
        <v>103.05</v>
      </c>
      <c r="J27" s="644">
        <v>-3.9</v>
      </c>
      <c r="K27" s="645">
        <f>-I27+J27</f>
        <v>-106.95</v>
      </c>
    </row>
    <row r="28" spans="2:15" ht="13" customHeight="1">
      <c r="B28" s="661">
        <v>46046</v>
      </c>
      <c r="C28" s="954" t="s">
        <v>338</v>
      </c>
      <c r="D28" s="638" t="s">
        <v>339</v>
      </c>
      <c r="E28" s="638" t="s">
        <v>332</v>
      </c>
      <c r="F28" s="659" t="s">
        <v>333</v>
      </c>
      <c r="G28" s="642">
        <v>5</v>
      </c>
      <c r="H28" s="643">
        <v>25.9</v>
      </c>
      <c r="I28" s="644">
        <f>H28*G28</f>
        <v>129.5</v>
      </c>
      <c r="J28" s="644">
        <v>-10.3</v>
      </c>
      <c r="K28" s="645">
        <f>-I28+J28</f>
        <v>-139.80000000000001</v>
      </c>
    </row>
    <row r="29" spans="2:15" ht="16" customHeight="1">
      <c r="B29" s="661">
        <v>46032</v>
      </c>
      <c r="C29" s="633" t="s">
        <v>340</v>
      </c>
      <c r="D29" s="638" t="s">
        <v>341</v>
      </c>
      <c r="E29" s="638" t="s">
        <v>342</v>
      </c>
      <c r="F29" s="638" t="s">
        <v>343</v>
      </c>
      <c r="G29" s="642">
        <v>5</v>
      </c>
      <c r="H29" s="643">
        <v>21.07</v>
      </c>
      <c r="I29" s="644">
        <f>H29*G29</f>
        <v>105.35</v>
      </c>
      <c r="J29" s="644">
        <v>-3</v>
      </c>
      <c r="K29" s="645">
        <f>-I29+J29</f>
        <v>-108.35</v>
      </c>
      <c r="L29" s="777">
        <v>2026</v>
      </c>
      <c r="M29" t="s">
        <v>344</v>
      </c>
    </row>
    <row r="30" spans="2:15" ht="13" customHeight="1">
      <c r="B30" s="661">
        <v>46032</v>
      </c>
      <c r="C30" s="633" t="s">
        <v>345</v>
      </c>
      <c r="D30" s="638" t="s">
        <v>346</v>
      </c>
      <c r="E30" s="638" t="s">
        <v>336</v>
      </c>
      <c r="F30" s="638" t="s">
        <v>337</v>
      </c>
      <c r="G30" s="642">
        <v>5</v>
      </c>
      <c r="H30" s="643">
        <v>19</v>
      </c>
      <c r="I30" s="644">
        <f>H30*G30</f>
        <v>95</v>
      </c>
      <c r="J30" s="644">
        <v>-3.9</v>
      </c>
      <c r="K30" s="645">
        <f>-I30+J30</f>
        <v>-98.9</v>
      </c>
      <c r="L30" s="532">
        <f>SUM(K6:K31)</f>
        <v>-2432.7849999999999</v>
      </c>
      <c r="M30" s="532">
        <f>SUM(I6:I31)</f>
        <v>2322.7249999999999</v>
      </c>
      <c r="O30" s="346" t="s">
        <v>347</v>
      </c>
    </row>
    <row r="31" spans="2:15" ht="13" customHeight="1">
      <c r="B31" s="965">
        <v>46024</v>
      </c>
      <c r="C31" s="930" t="s">
        <v>348</v>
      </c>
      <c r="D31" s="780" t="s">
        <v>349</v>
      </c>
      <c r="E31" s="780" t="s">
        <v>226</v>
      </c>
      <c r="F31" s="780" t="s">
        <v>226</v>
      </c>
      <c r="G31" s="781" t="s">
        <v>226</v>
      </c>
      <c r="H31" s="782" t="s">
        <v>350</v>
      </c>
      <c r="I31" s="783" t="s">
        <v>226</v>
      </c>
      <c r="J31" s="783">
        <v>-43.56</v>
      </c>
      <c r="K31" s="966">
        <v>-43.56</v>
      </c>
      <c r="L31" s="891" t="s">
        <v>351</v>
      </c>
      <c r="M31" s="891" t="s">
        <v>352</v>
      </c>
      <c r="N31" s="640">
        <f>-L30-M30</f>
        <v>110.05999999999995</v>
      </c>
      <c r="O31" s="532">
        <f>SUM(J6:J31)</f>
        <v>-110.06000000000002</v>
      </c>
    </row>
    <row r="32" spans="2:15" ht="13" customHeight="1">
      <c r="B32" s="661">
        <v>46012</v>
      </c>
      <c r="C32" s="954" t="s">
        <v>330</v>
      </c>
      <c r="D32" s="638" t="s">
        <v>331</v>
      </c>
      <c r="E32" s="638" t="s">
        <v>332</v>
      </c>
      <c r="F32" s="660" t="s">
        <v>333</v>
      </c>
      <c r="G32" s="642">
        <v>5</v>
      </c>
      <c r="H32" s="643">
        <v>29.66</v>
      </c>
      <c r="I32" s="644">
        <f t="shared" ref="I32:I47" si="0">H32*G32</f>
        <v>148.30000000000001</v>
      </c>
      <c r="J32" s="644">
        <v>-10.3</v>
      </c>
      <c r="K32" s="645">
        <f t="shared" ref="K32:K47" si="1">-I32+J32</f>
        <v>-158.60000000000002</v>
      </c>
      <c r="N32" s="347" t="s">
        <v>353</v>
      </c>
    </row>
    <row r="33" spans="2:11" ht="13" customHeight="1">
      <c r="B33" s="661">
        <v>45997</v>
      </c>
      <c r="C33" s="634" t="s">
        <v>354</v>
      </c>
      <c r="D33" s="631" t="s">
        <v>355</v>
      </c>
      <c r="E33" s="631" t="s">
        <v>336</v>
      </c>
      <c r="F33" s="631" t="s">
        <v>337</v>
      </c>
      <c r="G33" s="642">
        <v>5</v>
      </c>
      <c r="H33" s="643">
        <v>21.7</v>
      </c>
      <c r="I33" s="644">
        <f t="shared" si="0"/>
        <v>108.5</v>
      </c>
      <c r="J33" s="644">
        <v>-3.9</v>
      </c>
      <c r="K33" s="645">
        <f t="shared" si="1"/>
        <v>-112.4</v>
      </c>
    </row>
    <row r="34" spans="2:11" ht="13" customHeight="1">
      <c r="B34" s="661">
        <v>45997</v>
      </c>
      <c r="C34" s="633" t="s">
        <v>356</v>
      </c>
      <c r="D34" s="638" t="s">
        <v>357</v>
      </c>
      <c r="E34" s="638" t="s">
        <v>358</v>
      </c>
      <c r="F34" s="638" t="s">
        <v>359</v>
      </c>
      <c r="G34" s="642">
        <v>3</v>
      </c>
      <c r="H34" s="643">
        <v>57.48</v>
      </c>
      <c r="I34" s="644">
        <f t="shared" si="0"/>
        <v>172.44</v>
      </c>
      <c r="J34" s="644">
        <v>-3</v>
      </c>
      <c r="K34" s="645">
        <f t="shared" si="1"/>
        <v>-175.44</v>
      </c>
    </row>
    <row r="35" spans="2:11" ht="13" customHeight="1">
      <c r="B35" s="661">
        <v>45977</v>
      </c>
      <c r="C35" s="954" t="s">
        <v>360</v>
      </c>
      <c r="D35" s="638" t="s">
        <v>361</v>
      </c>
      <c r="E35" s="638" t="s">
        <v>332</v>
      </c>
      <c r="F35" s="660" t="s">
        <v>333</v>
      </c>
      <c r="G35" s="642">
        <v>10</v>
      </c>
      <c r="H35" s="643">
        <v>15.08</v>
      </c>
      <c r="I35" s="644">
        <f t="shared" si="0"/>
        <v>150.80000000000001</v>
      </c>
      <c r="J35" s="644">
        <v>-10.3</v>
      </c>
      <c r="K35" s="645">
        <f t="shared" si="1"/>
        <v>-161.10000000000002</v>
      </c>
    </row>
    <row r="36" spans="2:11" ht="13" customHeight="1">
      <c r="B36" s="661">
        <v>45959</v>
      </c>
      <c r="C36" s="633" t="s">
        <v>356</v>
      </c>
      <c r="D36" s="638" t="s">
        <v>357</v>
      </c>
      <c r="E36" s="638" t="s">
        <v>358</v>
      </c>
      <c r="F36" s="638" t="s">
        <v>359</v>
      </c>
      <c r="G36" s="642">
        <v>2</v>
      </c>
      <c r="H36" s="643">
        <v>57.07</v>
      </c>
      <c r="I36" s="644">
        <f t="shared" si="0"/>
        <v>114.14</v>
      </c>
      <c r="J36" s="644">
        <v>-3</v>
      </c>
      <c r="K36" s="645">
        <f t="shared" si="1"/>
        <v>-117.14</v>
      </c>
    </row>
    <row r="37" spans="2:11" ht="13" customHeight="1">
      <c r="B37" s="661">
        <v>45959</v>
      </c>
      <c r="C37" s="633" t="s">
        <v>362</v>
      </c>
      <c r="D37" s="638" t="s">
        <v>363</v>
      </c>
      <c r="E37" s="638" t="s">
        <v>336</v>
      </c>
      <c r="F37" s="638" t="s">
        <v>337</v>
      </c>
      <c r="G37" s="642">
        <v>5</v>
      </c>
      <c r="H37" s="643">
        <v>24.704999999999998</v>
      </c>
      <c r="I37" s="644">
        <f t="shared" si="0"/>
        <v>123.52499999999999</v>
      </c>
      <c r="J37" s="644">
        <v>-3.9</v>
      </c>
      <c r="K37" s="645">
        <f t="shared" si="1"/>
        <v>-127.425</v>
      </c>
    </row>
    <row r="38" spans="2:11" ht="13" customHeight="1">
      <c r="B38" s="661">
        <v>45950</v>
      </c>
      <c r="C38" s="954" t="s">
        <v>364</v>
      </c>
      <c r="D38" s="638" t="s">
        <v>365</v>
      </c>
      <c r="E38" s="638" t="s">
        <v>332</v>
      </c>
      <c r="F38" s="659" t="s">
        <v>333</v>
      </c>
      <c r="G38" s="642">
        <v>10</v>
      </c>
      <c r="H38" s="643">
        <v>13.875</v>
      </c>
      <c r="I38" s="644">
        <f t="shared" si="0"/>
        <v>138.75</v>
      </c>
      <c r="J38" s="644">
        <v>-10.3</v>
      </c>
      <c r="K38" s="645">
        <f t="shared" si="1"/>
        <v>-149.05000000000001</v>
      </c>
    </row>
    <row r="39" spans="2:11" ht="13" customHeight="1">
      <c r="B39" s="661">
        <v>45932</v>
      </c>
      <c r="C39" s="633" t="s">
        <v>366</v>
      </c>
      <c r="D39" s="638" t="s">
        <v>367</v>
      </c>
      <c r="E39" s="638" t="s">
        <v>358</v>
      </c>
      <c r="F39" s="638" t="s">
        <v>359</v>
      </c>
      <c r="G39" s="642">
        <v>5</v>
      </c>
      <c r="H39" s="643">
        <v>31.47</v>
      </c>
      <c r="I39" s="644">
        <f t="shared" si="0"/>
        <v>157.35</v>
      </c>
      <c r="J39" s="644">
        <v>-3</v>
      </c>
      <c r="K39" s="645">
        <f t="shared" si="1"/>
        <v>-160.35</v>
      </c>
    </row>
    <row r="40" spans="2:11" ht="13" customHeight="1">
      <c r="B40" s="661">
        <v>45931</v>
      </c>
      <c r="C40" s="633" t="s">
        <v>368</v>
      </c>
      <c r="D40" s="638" t="s">
        <v>369</v>
      </c>
      <c r="E40" s="638" t="s">
        <v>358</v>
      </c>
      <c r="F40" s="638" t="s">
        <v>370</v>
      </c>
      <c r="G40" s="642">
        <v>5</v>
      </c>
      <c r="H40" s="643">
        <v>21.9</v>
      </c>
      <c r="I40" s="644">
        <f t="shared" si="0"/>
        <v>109.5</v>
      </c>
      <c r="J40" s="644">
        <v>-4.9000000000000004</v>
      </c>
      <c r="K40" s="645">
        <f t="shared" si="1"/>
        <v>-114.4</v>
      </c>
    </row>
    <row r="41" spans="2:11" ht="13" customHeight="1">
      <c r="B41" s="661">
        <v>45924</v>
      </c>
      <c r="C41" s="954" t="s">
        <v>371</v>
      </c>
      <c r="D41" s="638" t="s">
        <v>372</v>
      </c>
      <c r="E41" s="638" t="s">
        <v>332</v>
      </c>
      <c r="F41" s="660" t="s">
        <v>333</v>
      </c>
      <c r="G41" s="642">
        <v>10</v>
      </c>
      <c r="H41" s="643">
        <v>15.64</v>
      </c>
      <c r="I41" s="644">
        <f t="shared" si="0"/>
        <v>156.4</v>
      </c>
      <c r="J41" s="644">
        <v>-10.3</v>
      </c>
      <c r="K41" s="645">
        <f t="shared" si="1"/>
        <v>-166.70000000000002</v>
      </c>
    </row>
    <row r="42" spans="2:11" ht="13" customHeight="1">
      <c r="B42" s="661">
        <v>45904</v>
      </c>
      <c r="C42" s="634" t="s">
        <v>373</v>
      </c>
      <c r="D42" s="631" t="s">
        <v>374</v>
      </c>
      <c r="E42" s="631" t="s">
        <v>358</v>
      </c>
      <c r="F42" s="631" t="s">
        <v>370</v>
      </c>
      <c r="G42" s="642">
        <v>5</v>
      </c>
      <c r="H42" s="643">
        <v>37.68</v>
      </c>
      <c r="I42" s="644">
        <f t="shared" si="0"/>
        <v>188.4</v>
      </c>
      <c r="J42" s="644">
        <v>-4.9000000000000004</v>
      </c>
      <c r="K42" s="645">
        <f t="shared" si="1"/>
        <v>-193.3</v>
      </c>
    </row>
    <row r="43" spans="2:11" ht="13" customHeight="1">
      <c r="B43" s="661">
        <v>45901</v>
      </c>
      <c r="C43" s="633" t="s">
        <v>340</v>
      </c>
      <c r="D43" s="638" t="s">
        <v>341</v>
      </c>
      <c r="E43" s="638" t="s">
        <v>342</v>
      </c>
      <c r="F43" s="638" t="s">
        <v>343</v>
      </c>
      <c r="G43" s="642">
        <v>5</v>
      </c>
      <c r="H43" s="643">
        <v>20.875</v>
      </c>
      <c r="I43" s="644">
        <f t="shared" si="0"/>
        <v>104.375</v>
      </c>
      <c r="J43" s="644">
        <v>-1</v>
      </c>
      <c r="K43" s="645">
        <f t="shared" si="1"/>
        <v>-105.375</v>
      </c>
    </row>
    <row r="44" spans="2:11" ht="13" customHeight="1">
      <c r="B44" s="661">
        <v>45901</v>
      </c>
      <c r="C44" s="634" t="s">
        <v>375</v>
      </c>
      <c r="D44" s="631" t="s">
        <v>376</v>
      </c>
      <c r="E44" s="631" t="s">
        <v>342</v>
      </c>
      <c r="F44" s="631" t="s">
        <v>343</v>
      </c>
      <c r="G44" s="646">
        <v>5</v>
      </c>
      <c r="H44" s="643">
        <v>31.565000000000001</v>
      </c>
      <c r="I44" s="644">
        <f t="shared" si="0"/>
        <v>157.82500000000002</v>
      </c>
      <c r="J44" s="644">
        <v>-4.9000000000000004</v>
      </c>
      <c r="K44" s="645">
        <f t="shared" si="1"/>
        <v>-162.72500000000002</v>
      </c>
    </row>
    <row r="45" spans="2:11" ht="13" customHeight="1">
      <c r="B45" s="661">
        <v>45877</v>
      </c>
      <c r="C45" s="954" t="s">
        <v>377</v>
      </c>
      <c r="D45" s="638" t="s">
        <v>378</v>
      </c>
      <c r="E45" s="638" t="s">
        <v>332</v>
      </c>
      <c r="F45" s="660" t="s">
        <v>333</v>
      </c>
      <c r="G45" s="642">
        <v>5</v>
      </c>
      <c r="H45" s="643">
        <v>61.3</v>
      </c>
      <c r="I45" s="644">
        <f t="shared" si="0"/>
        <v>306.5</v>
      </c>
      <c r="J45" s="644">
        <v>-10.6</v>
      </c>
      <c r="K45" s="645">
        <f t="shared" si="1"/>
        <v>-317.10000000000002</v>
      </c>
    </row>
    <row r="46" spans="2:11" ht="13" customHeight="1">
      <c r="B46" s="661">
        <v>45870</v>
      </c>
      <c r="C46" s="633" t="s">
        <v>366</v>
      </c>
      <c r="D46" s="638" t="s">
        <v>367</v>
      </c>
      <c r="E46" s="638" t="s">
        <v>358</v>
      </c>
      <c r="F46" s="638" t="s">
        <v>359</v>
      </c>
      <c r="G46" s="642">
        <v>5</v>
      </c>
      <c r="H46" s="643">
        <v>30.66</v>
      </c>
      <c r="I46" s="644">
        <f t="shared" si="0"/>
        <v>153.30000000000001</v>
      </c>
      <c r="J46" s="644">
        <v>-3</v>
      </c>
      <c r="K46" s="645">
        <f t="shared" si="1"/>
        <v>-156.30000000000001</v>
      </c>
    </row>
    <row r="47" spans="2:11" ht="13" customHeight="1">
      <c r="B47" s="661">
        <v>45852</v>
      </c>
      <c r="C47" s="954" t="s">
        <v>330</v>
      </c>
      <c r="D47" s="638" t="s">
        <v>331</v>
      </c>
      <c r="E47" s="638" t="s">
        <v>332</v>
      </c>
      <c r="F47" s="660" t="s">
        <v>333</v>
      </c>
      <c r="G47" s="642">
        <v>5</v>
      </c>
      <c r="H47" s="643">
        <v>27.91</v>
      </c>
      <c r="I47" s="644">
        <f t="shared" si="0"/>
        <v>139.55000000000001</v>
      </c>
      <c r="J47" s="644">
        <v>-10.3</v>
      </c>
      <c r="K47" s="645">
        <f t="shared" si="1"/>
        <v>-149.85000000000002</v>
      </c>
    </row>
    <row r="48" spans="2:11" ht="13" customHeight="1">
      <c r="B48" s="661">
        <v>45839</v>
      </c>
      <c r="C48" s="934" t="s">
        <v>348</v>
      </c>
      <c r="D48" s="638" t="s">
        <v>349</v>
      </c>
      <c r="E48" s="638" t="s">
        <v>226</v>
      </c>
      <c r="F48" s="638" t="s">
        <v>226</v>
      </c>
      <c r="G48" s="642" t="s">
        <v>226</v>
      </c>
      <c r="H48" s="643" t="s">
        <v>350</v>
      </c>
      <c r="I48" s="644" t="s">
        <v>226</v>
      </c>
      <c r="J48" s="644">
        <v>-43.56</v>
      </c>
      <c r="K48" s="645">
        <v>-43.56</v>
      </c>
    </row>
    <row r="49" spans="2:11" ht="13" customHeight="1">
      <c r="B49" s="661">
        <v>45835</v>
      </c>
      <c r="C49" s="633" t="s">
        <v>366</v>
      </c>
      <c r="D49" s="638" t="s">
        <v>367</v>
      </c>
      <c r="E49" s="638" t="s">
        <v>358</v>
      </c>
      <c r="F49" s="638" t="s">
        <v>359</v>
      </c>
      <c r="G49" s="642">
        <v>5</v>
      </c>
      <c r="H49" s="643">
        <v>30</v>
      </c>
      <c r="I49" s="644">
        <f t="shared" ref="I49:I95" si="2">H49*G49</f>
        <v>150</v>
      </c>
      <c r="J49" s="644">
        <v>-3</v>
      </c>
      <c r="K49" s="645">
        <f t="shared" ref="K49:K95" si="3">-I49+J49</f>
        <v>-153</v>
      </c>
    </row>
    <row r="50" spans="2:11" ht="13" customHeight="1">
      <c r="B50" s="661">
        <v>45835</v>
      </c>
      <c r="C50" s="634" t="s">
        <v>379</v>
      </c>
      <c r="D50" s="631" t="s">
        <v>380</v>
      </c>
      <c r="E50" s="631" t="s">
        <v>336</v>
      </c>
      <c r="F50" s="631" t="s">
        <v>337</v>
      </c>
      <c r="G50" s="642">
        <v>5</v>
      </c>
      <c r="H50" s="643">
        <v>29.75</v>
      </c>
      <c r="I50" s="644">
        <f t="shared" si="2"/>
        <v>148.75</v>
      </c>
      <c r="J50" s="644">
        <v>-3.9</v>
      </c>
      <c r="K50" s="645">
        <f t="shared" si="3"/>
        <v>-152.65</v>
      </c>
    </row>
    <row r="51" spans="2:11" ht="13" customHeight="1">
      <c r="B51" s="661">
        <v>45820</v>
      </c>
      <c r="C51" s="954" t="s">
        <v>360</v>
      </c>
      <c r="D51" s="638" t="s">
        <v>361</v>
      </c>
      <c r="E51" s="638" t="s">
        <v>332</v>
      </c>
      <c r="F51" s="660" t="s">
        <v>333</v>
      </c>
      <c r="G51" s="642">
        <v>10</v>
      </c>
      <c r="H51" s="643">
        <v>17.86</v>
      </c>
      <c r="I51" s="644">
        <f t="shared" si="2"/>
        <v>178.6</v>
      </c>
      <c r="J51" s="644">
        <v>-10.36</v>
      </c>
      <c r="K51" s="645">
        <f t="shared" si="3"/>
        <v>-188.95999999999998</v>
      </c>
    </row>
    <row r="52" spans="2:11" ht="13" customHeight="1">
      <c r="B52" s="661">
        <v>45794</v>
      </c>
      <c r="C52" s="954" t="s">
        <v>364</v>
      </c>
      <c r="D52" s="638" t="s">
        <v>365</v>
      </c>
      <c r="E52" s="638" t="s">
        <v>332</v>
      </c>
      <c r="F52" s="659" t="s">
        <v>333</v>
      </c>
      <c r="G52" s="642">
        <v>10</v>
      </c>
      <c r="H52" s="643">
        <v>13.445</v>
      </c>
      <c r="I52" s="644">
        <f t="shared" si="2"/>
        <v>134.44999999999999</v>
      </c>
      <c r="J52" s="644">
        <v>-10.3</v>
      </c>
      <c r="K52" s="645">
        <f t="shared" si="3"/>
        <v>-144.75</v>
      </c>
    </row>
    <row r="53" spans="2:11" ht="13" customHeight="1">
      <c r="B53" s="661">
        <v>45782</v>
      </c>
      <c r="C53" s="633" t="s">
        <v>366</v>
      </c>
      <c r="D53" s="638" t="s">
        <v>367</v>
      </c>
      <c r="E53" s="638" t="s">
        <v>358</v>
      </c>
      <c r="F53" s="638" t="s">
        <v>359</v>
      </c>
      <c r="G53" s="642">
        <v>5</v>
      </c>
      <c r="H53" s="643">
        <v>31.5</v>
      </c>
      <c r="I53" s="644">
        <f t="shared" si="2"/>
        <v>157.5</v>
      </c>
      <c r="J53" s="644">
        <v>-3</v>
      </c>
      <c r="K53" s="645">
        <f t="shared" si="3"/>
        <v>-160.5</v>
      </c>
    </row>
    <row r="54" spans="2:11" ht="13" customHeight="1">
      <c r="B54" s="661">
        <v>45782</v>
      </c>
      <c r="C54" s="634" t="s">
        <v>381</v>
      </c>
      <c r="D54" s="631" t="s">
        <v>382</v>
      </c>
      <c r="E54" s="631" t="s">
        <v>336</v>
      </c>
      <c r="F54" s="631" t="s">
        <v>337</v>
      </c>
      <c r="G54" s="642">
        <v>5</v>
      </c>
      <c r="H54" s="643">
        <v>18</v>
      </c>
      <c r="I54" s="644">
        <f t="shared" si="2"/>
        <v>90</v>
      </c>
      <c r="J54" s="644">
        <v>-3.9</v>
      </c>
      <c r="K54" s="645">
        <f t="shared" si="3"/>
        <v>-93.9</v>
      </c>
    </row>
    <row r="55" spans="2:11" ht="13" customHeight="1">
      <c r="B55" s="661">
        <v>45782</v>
      </c>
      <c r="C55" s="633" t="s">
        <v>345</v>
      </c>
      <c r="D55" s="638" t="s">
        <v>346</v>
      </c>
      <c r="E55" s="638" t="s">
        <v>336</v>
      </c>
      <c r="F55" s="638" t="s">
        <v>337</v>
      </c>
      <c r="G55" s="642">
        <v>5</v>
      </c>
      <c r="H55" s="643">
        <v>25.215</v>
      </c>
      <c r="I55" s="644">
        <f t="shared" si="2"/>
        <v>126.075</v>
      </c>
      <c r="J55" s="644">
        <v>-3.9</v>
      </c>
      <c r="K55" s="645">
        <f t="shared" si="3"/>
        <v>-129.97499999999999</v>
      </c>
    </row>
    <row r="56" spans="2:11" ht="13" customHeight="1">
      <c r="B56" s="661">
        <v>45773</v>
      </c>
      <c r="C56" s="633" t="s">
        <v>340</v>
      </c>
      <c r="D56" s="638" t="s">
        <v>341</v>
      </c>
      <c r="E56" s="638" t="s">
        <v>342</v>
      </c>
      <c r="F56" s="638" t="s">
        <v>343</v>
      </c>
      <c r="G56" s="642">
        <v>5</v>
      </c>
      <c r="H56" s="643">
        <v>20.3</v>
      </c>
      <c r="I56" s="644">
        <f t="shared" si="2"/>
        <v>101.5</v>
      </c>
      <c r="J56" s="644">
        <v>-1</v>
      </c>
      <c r="K56" s="645">
        <f t="shared" si="3"/>
        <v>-102.5</v>
      </c>
    </row>
    <row r="57" spans="2:11" ht="13" customHeight="1">
      <c r="B57" s="661">
        <v>45773</v>
      </c>
      <c r="C57" s="634" t="s">
        <v>383</v>
      </c>
      <c r="D57" s="631" t="s">
        <v>384</v>
      </c>
      <c r="E57" s="631" t="s">
        <v>342</v>
      </c>
      <c r="F57" s="631" t="s">
        <v>343</v>
      </c>
      <c r="G57" s="642">
        <v>5</v>
      </c>
      <c r="H57" s="643">
        <v>55</v>
      </c>
      <c r="I57" s="644">
        <f t="shared" si="2"/>
        <v>275</v>
      </c>
      <c r="J57" s="644">
        <v>-4.9000000000000004</v>
      </c>
      <c r="K57" s="645">
        <f t="shared" si="3"/>
        <v>-279.89999999999998</v>
      </c>
    </row>
    <row r="58" spans="2:11" ht="13" customHeight="1">
      <c r="B58" s="661">
        <v>45771</v>
      </c>
      <c r="C58" s="954" t="s">
        <v>371</v>
      </c>
      <c r="D58" s="638" t="s">
        <v>372</v>
      </c>
      <c r="E58" s="638" t="s">
        <v>332</v>
      </c>
      <c r="F58" s="660" t="s">
        <v>333</v>
      </c>
      <c r="G58" s="642">
        <v>10</v>
      </c>
      <c r="H58" s="643">
        <v>15.33</v>
      </c>
      <c r="I58" s="644">
        <f t="shared" si="2"/>
        <v>153.30000000000001</v>
      </c>
      <c r="J58" s="644">
        <v>-10.3</v>
      </c>
      <c r="K58" s="645">
        <f t="shared" si="3"/>
        <v>-163.60000000000002</v>
      </c>
    </row>
    <row r="59" spans="2:11" ht="13" customHeight="1">
      <c r="B59" s="661">
        <v>45743</v>
      </c>
      <c r="C59" s="954" t="s">
        <v>338</v>
      </c>
      <c r="D59" s="638" t="s">
        <v>339</v>
      </c>
      <c r="E59" s="638" t="s">
        <v>332</v>
      </c>
      <c r="F59" s="659" t="s">
        <v>333</v>
      </c>
      <c r="G59" s="642">
        <v>10</v>
      </c>
      <c r="H59" s="643">
        <v>17.62</v>
      </c>
      <c r="I59" s="644">
        <f t="shared" si="2"/>
        <v>176.20000000000002</v>
      </c>
      <c r="J59" s="644">
        <v>-10</v>
      </c>
      <c r="K59" s="645">
        <f t="shared" si="3"/>
        <v>-186.20000000000002</v>
      </c>
    </row>
    <row r="60" spans="2:11" ht="13" customHeight="1">
      <c r="B60" s="661">
        <v>45741</v>
      </c>
      <c r="C60" s="633" t="s">
        <v>366</v>
      </c>
      <c r="D60" s="638" t="s">
        <v>367</v>
      </c>
      <c r="E60" s="638" t="s">
        <v>358</v>
      </c>
      <c r="F60" s="638" t="s">
        <v>359</v>
      </c>
      <c r="G60" s="642">
        <v>5</v>
      </c>
      <c r="H60" s="643">
        <v>34.5</v>
      </c>
      <c r="I60" s="644">
        <f t="shared" si="2"/>
        <v>172.5</v>
      </c>
      <c r="J60" s="644">
        <v>-3</v>
      </c>
      <c r="K60" s="645">
        <f t="shared" si="3"/>
        <v>-175.5</v>
      </c>
    </row>
    <row r="61" spans="2:11" ht="13" customHeight="1">
      <c r="B61" s="661">
        <v>45741</v>
      </c>
      <c r="C61" s="634" t="s">
        <v>373</v>
      </c>
      <c r="D61" s="631" t="s">
        <v>374</v>
      </c>
      <c r="E61" s="631" t="s">
        <v>358</v>
      </c>
      <c r="F61" s="631" t="s">
        <v>370</v>
      </c>
      <c r="G61" s="642">
        <v>5</v>
      </c>
      <c r="H61" s="643">
        <v>40.4</v>
      </c>
      <c r="I61" s="644">
        <f t="shared" si="2"/>
        <v>202</v>
      </c>
      <c r="J61" s="644">
        <v>-4.9000000000000004</v>
      </c>
      <c r="K61" s="645">
        <f t="shared" si="3"/>
        <v>-206.9</v>
      </c>
    </row>
    <row r="62" spans="2:11" ht="13" customHeight="1">
      <c r="B62" s="661">
        <v>45741</v>
      </c>
      <c r="C62" s="633" t="s">
        <v>340</v>
      </c>
      <c r="D62" s="638" t="s">
        <v>341</v>
      </c>
      <c r="E62" s="638" t="s">
        <v>342</v>
      </c>
      <c r="F62" s="638" t="s">
        <v>343</v>
      </c>
      <c r="G62" s="642">
        <v>5</v>
      </c>
      <c r="H62" s="643">
        <v>21.5</v>
      </c>
      <c r="I62" s="644">
        <f t="shared" si="2"/>
        <v>107.5</v>
      </c>
      <c r="J62" s="644">
        <v>-1</v>
      </c>
      <c r="K62" s="645">
        <f t="shared" si="3"/>
        <v>-108.5</v>
      </c>
    </row>
    <row r="63" spans="2:11" ht="13" customHeight="1">
      <c r="B63" s="661">
        <v>45741</v>
      </c>
      <c r="C63" s="633" t="s">
        <v>362</v>
      </c>
      <c r="D63" s="638" t="s">
        <v>363</v>
      </c>
      <c r="E63" s="638" t="s">
        <v>336</v>
      </c>
      <c r="F63" s="638" t="s">
        <v>337</v>
      </c>
      <c r="G63" s="642">
        <v>10</v>
      </c>
      <c r="H63" s="643">
        <v>35.5</v>
      </c>
      <c r="I63" s="644">
        <f t="shared" si="2"/>
        <v>355</v>
      </c>
      <c r="J63" s="644">
        <v>-3.9</v>
      </c>
      <c r="K63" s="645">
        <f t="shared" si="3"/>
        <v>-358.9</v>
      </c>
    </row>
    <row r="64" spans="2:11" ht="13" customHeight="1">
      <c r="B64" s="661">
        <v>45741</v>
      </c>
      <c r="C64" s="634" t="s">
        <v>354</v>
      </c>
      <c r="D64" s="631" t="s">
        <v>355</v>
      </c>
      <c r="E64" s="631" t="s">
        <v>336</v>
      </c>
      <c r="F64" s="631" t="s">
        <v>337</v>
      </c>
      <c r="G64" s="642">
        <v>5</v>
      </c>
      <c r="H64" s="643">
        <v>25</v>
      </c>
      <c r="I64" s="644">
        <f t="shared" si="2"/>
        <v>125</v>
      </c>
      <c r="J64" s="644">
        <v>-3.9</v>
      </c>
      <c r="K64" s="645">
        <f t="shared" si="3"/>
        <v>-128.9</v>
      </c>
    </row>
    <row r="65" spans="2:15" ht="13" customHeight="1">
      <c r="B65" s="661">
        <v>45740</v>
      </c>
      <c r="C65" s="633" t="s">
        <v>356</v>
      </c>
      <c r="D65" s="638" t="s">
        <v>357</v>
      </c>
      <c r="E65" s="638" t="s">
        <v>358</v>
      </c>
      <c r="F65" s="638" t="s">
        <v>359</v>
      </c>
      <c r="G65" s="642">
        <v>6</v>
      </c>
      <c r="H65" s="643">
        <v>54.45</v>
      </c>
      <c r="I65" s="644">
        <f t="shared" si="2"/>
        <v>326.70000000000005</v>
      </c>
      <c r="J65" s="644">
        <v>-3</v>
      </c>
      <c r="K65" s="645">
        <f t="shared" si="3"/>
        <v>-329.70000000000005</v>
      </c>
    </row>
    <row r="66" spans="2:15" ht="13" customHeight="1">
      <c r="B66" s="661">
        <v>45740</v>
      </c>
      <c r="C66" s="633" t="s">
        <v>368</v>
      </c>
      <c r="D66" s="638" t="s">
        <v>369</v>
      </c>
      <c r="E66" s="638" t="s">
        <v>358</v>
      </c>
      <c r="F66" s="638" t="s">
        <v>370</v>
      </c>
      <c r="G66" s="642">
        <v>10</v>
      </c>
      <c r="H66" s="643">
        <v>24.17</v>
      </c>
      <c r="I66" s="644">
        <f t="shared" si="2"/>
        <v>241.70000000000002</v>
      </c>
      <c r="J66" s="644">
        <v>-4.9000000000000004</v>
      </c>
      <c r="K66" s="645">
        <f t="shared" si="3"/>
        <v>-246.60000000000002</v>
      </c>
    </row>
    <row r="67" spans="2:15" ht="13" customHeight="1">
      <c r="B67" s="661">
        <v>45716</v>
      </c>
      <c r="C67" s="954" t="s">
        <v>330</v>
      </c>
      <c r="D67" s="638" t="s">
        <v>331</v>
      </c>
      <c r="E67" s="638" t="s">
        <v>332</v>
      </c>
      <c r="F67" s="660" t="s">
        <v>333</v>
      </c>
      <c r="G67" s="642">
        <v>5</v>
      </c>
      <c r="H67" s="643">
        <v>27.74</v>
      </c>
      <c r="I67" s="644">
        <f t="shared" si="2"/>
        <v>138.69999999999999</v>
      </c>
      <c r="J67" s="644">
        <v>-10.28</v>
      </c>
      <c r="K67" s="645">
        <f t="shared" si="3"/>
        <v>-148.97999999999999</v>
      </c>
    </row>
    <row r="68" spans="2:15" ht="13" customHeight="1">
      <c r="B68" s="661">
        <v>45716</v>
      </c>
      <c r="C68" s="634" t="s">
        <v>383</v>
      </c>
      <c r="D68" s="631" t="s">
        <v>384</v>
      </c>
      <c r="E68" s="631" t="s">
        <v>342</v>
      </c>
      <c r="F68" s="631" t="s">
        <v>343</v>
      </c>
      <c r="G68" s="642">
        <v>5</v>
      </c>
      <c r="H68" s="643">
        <v>54.16</v>
      </c>
      <c r="I68" s="644">
        <f t="shared" si="2"/>
        <v>270.79999999999995</v>
      </c>
      <c r="J68" s="644">
        <v>-4.9000000000000004</v>
      </c>
      <c r="K68" s="645">
        <f t="shared" si="3"/>
        <v>-275.69999999999993</v>
      </c>
    </row>
    <row r="69" spans="2:15" ht="16" customHeight="1">
      <c r="B69" s="661">
        <v>45679</v>
      </c>
      <c r="C69" s="954" t="s">
        <v>330</v>
      </c>
      <c r="D69" s="638" t="s">
        <v>331</v>
      </c>
      <c r="E69" s="638" t="s">
        <v>332</v>
      </c>
      <c r="F69" s="660" t="s">
        <v>333</v>
      </c>
      <c r="G69" s="642">
        <v>5</v>
      </c>
      <c r="H69" s="643">
        <v>30</v>
      </c>
      <c r="I69" s="644">
        <f t="shared" si="2"/>
        <v>150</v>
      </c>
      <c r="J69" s="644">
        <v>-10.3</v>
      </c>
      <c r="K69" s="645">
        <f t="shared" si="3"/>
        <v>-160.30000000000001</v>
      </c>
      <c r="L69" s="777">
        <v>2025</v>
      </c>
      <c r="M69" t="s">
        <v>385</v>
      </c>
    </row>
    <row r="70" spans="2:15" ht="13" customHeight="1">
      <c r="B70" s="661">
        <v>45692</v>
      </c>
      <c r="C70" s="634" t="s">
        <v>386</v>
      </c>
      <c r="D70" s="631" t="s">
        <v>387</v>
      </c>
      <c r="E70" s="631" t="s">
        <v>336</v>
      </c>
      <c r="F70" s="631" t="s">
        <v>337</v>
      </c>
      <c r="G70" s="642">
        <v>10</v>
      </c>
      <c r="H70" s="643">
        <v>9.42</v>
      </c>
      <c r="I70" s="644">
        <f t="shared" si="2"/>
        <v>94.2</v>
      </c>
      <c r="J70" s="644">
        <v>-3.9</v>
      </c>
      <c r="K70" s="645">
        <f t="shared" si="3"/>
        <v>-98.100000000000009</v>
      </c>
      <c r="L70" s="532">
        <f>SUM(K32:K71)</f>
        <v>-6677.4299999999994</v>
      </c>
      <c r="M70" s="532">
        <f>SUM(I32:I71)</f>
        <v>6416.7300000000005</v>
      </c>
      <c r="O70" s="346" t="s">
        <v>347</v>
      </c>
    </row>
    <row r="71" spans="2:15" ht="13" customHeight="1">
      <c r="B71" s="778">
        <v>45692</v>
      </c>
      <c r="C71" s="779" t="s">
        <v>340</v>
      </c>
      <c r="D71" s="780" t="s">
        <v>341</v>
      </c>
      <c r="E71" s="780" t="s">
        <v>342</v>
      </c>
      <c r="F71" s="780" t="s">
        <v>343</v>
      </c>
      <c r="G71" s="781">
        <v>5</v>
      </c>
      <c r="H71" s="782">
        <v>22.32</v>
      </c>
      <c r="I71" s="783">
        <f t="shared" si="2"/>
        <v>111.6</v>
      </c>
      <c r="J71" s="783">
        <v>-1</v>
      </c>
      <c r="K71" s="857">
        <f t="shared" si="3"/>
        <v>-112.6</v>
      </c>
      <c r="L71" s="891" t="s">
        <v>351</v>
      </c>
      <c r="M71" s="891" t="s">
        <v>352</v>
      </c>
      <c r="N71" s="640">
        <f>-L70-M70</f>
        <v>260.69999999999891</v>
      </c>
      <c r="O71" s="532">
        <f>SUM(J32:J71)</f>
        <v>-260.7000000000001</v>
      </c>
    </row>
    <row r="72" spans="2:15" ht="13" customHeight="1">
      <c r="B72" s="661">
        <v>45653</v>
      </c>
      <c r="C72" s="634" t="s">
        <v>375</v>
      </c>
      <c r="D72" s="631" t="s">
        <v>376</v>
      </c>
      <c r="E72" s="631" t="s">
        <v>342</v>
      </c>
      <c r="F72" s="631" t="s">
        <v>343</v>
      </c>
      <c r="G72" s="646">
        <v>2</v>
      </c>
      <c r="H72" s="643">
        <v>30</v>
      </c>
      <c r="I72" s="644">
        <f t="shared" si="2"/>
        <v>60</v>
      </c>
      <c r="J72" s="644">
        <v>-4.9000000000000004</v>
      </c>
      <c r="K72" s="645">
        <f t="shared" si="3"/>
        <v>-64.900000000000006</v>
      </c>
      <c r="N72" s="347" t="s">
        <v>353</v>
      </c>
    </row>
    <row r="73" spans="2:15" ht="13" customHeight="1">
      <c r="B73" s="661">
        <v>45653</v>
      </c>
      <c r="C73" s="634" t="s">
        <v>383</v>
      </c>
      <c r="D73" s="631" t="s">
        <v>384</v>
      </c>
      <c r="E73" s="631" t="s">
        <v>342</v>
      </c>
      <c r="F73" s="631" t="s">
        <v>343</v>
      </c>
      <c r="G73" s="642">
        <v>5</v>
      </c>
      <c r="H73" s="643">
        <v>55</v>
      </c>
      <c r="I73" s="644">
        <f t="shared" si="2"/>
        <v>275</v>
      </c>
      <c r="J73" s="644">
        <v>-4.9000000000000004</v>
      </c>
      <c r="K73" s="645">
        <f t="shared" si="3"/>
        <v>-279.89999999999998</v>
      </c>
      <c r="N73" s="347"/>
    </row>
    <row r="74" spans="2:15" ht="13" customHeight="1">
      <c r="B74" s="661">
        <v>45653</v>
      </c>
      <c r="C74" s="633" t="s">
        <v>334</v>
      </c>
      <c r="D74" s="638" t="s">
        <v>335</v>
      </c>
      <c r="E74" s="638" t="s">
        <v>336</v>
      </c>
      <c r="F74" s="638" t="s">
        <v>337</v>
      </c>
      <c r="G74" s="642">
        <v>3</v>
      </c>
      <c r="H74" s="643">
        <v>30</v>
      </c>
      <c r="I74" s="644">
        <f t="shared" si="2"/>
        <v>90</v>
      </c>
      <c r="J74" s="644">
        <v>-3.9</v>
      </c>
      <c r="K74" s="645">
        <f t="shared" si="3"/>
        <v>-93.9</v>
      </c>
    </row>
    <row r="75" spans="2:15" ht="13" customHeight="1">
      <c r="B75" s="661">
        <v>45647</v>
      </c>
      <c r="C75" s="954" t="s">
        <v>377</v>
      </c>
      <c r="D75" s="638" t="s">
        <v>378</v>
      </c>
      <c r="E75" s="638" t="s">
        <v>332</v>
      </c>
      <c r="F75" s="660" t="s">
        <v>333</v>
      </c>
      <c r="G75" s="642">
        <v>5</v>
      </c>
      <c r="H75" s="643">
        <v>47.46</v>
      </c>
      <c r="I75" s="644">
        <f t="shared" si="2"/>
        <v>237.3</v>
      </c>
      <c r="J75" s="644">
        <v>-10.5</v>
      </c>
      <c r="K75" s="645">
        <f t="shared" si="3"/>
        <v>-247.8</v>
      </c>
    </row>
    <row r="76" spans="2:15" ht="13" customHeight="1">
      <c r="B76" s="661">
        <v>45623</v>
      </c>
      <c r="C76" s="954" t="s">
        <v>330</v>
      </c>
      <c r="D76" s="638" t="s">
        <v>331</v>
      </c>
      <c r="E76" s="638" t="s">
        <v>332</v>
      </c>
      <c r="F76" s="660" t="s">
        <v>333</v>
      </c>
      <c r="G76" s="642">
        <v>5</v>
      </c>
      <c r="H76" s="643">
        <v>30</v>
      </c>
      <c r="I76" s="644">
        <f t="shared" si="2"/>
        <v>150</v>
      </c>
      <c r="J76" s="644">
        <v>-10.3</v>
      </c>
      <c r="K76" s="645">
        <f t="shared" si="3"/>
        <v>-160.30000000000001</v>
      </c>
    </row>
    <row r="77" spans="2:15" ht="13" customHeight="1">
      <c r="B77" s="661">
        <v>45565</v>
      </c>
      <c r="C77" s="954" t="s">
        <v>338</v>
      </c>
      <c r="D77" s="638" t="s">
        <v>339</v>
      </c>
      <c r="E77" s="638" t="s">
        <v>332</v>
      </c>
      <c r="F77" s="659" t="s">
        <v>333</v>
      </c>
      <c r="G77" s="642">
        <v>10</v>
      </c>
      <c r="H77" s="643">
        <v>19.04</v>
      </c>
      <c r="I77" s="644">
        <f t="shared" si="2"/>
        <v>190.39999999999998</v>
      </c>
      <c r="J77" s="644">
        <v>-10.38</v>
      </c>
      <c r="K77" s="645">
        <f t="shared" si="3"/>
        <v>-200.77999999999997</v>
      </c>
    </row>
    <row r="78" spans="2:15" ht="13" customHeight="1">
      <c r="B78" s="661">
        <v>45565</v>
      </c>
      <c r="C78" s="633" t="s">
        <v>345</v>
      </c>
      <c r="D78" s="638" t="s">
        <v>346</v>
      </c>
      <c r="E78" s="638" t="s">
        <v>336</v>
      </c>
      <c r="F78" s="638" t="s">
        <v>337</v>
      </c>
      <c r="G78" s="642">
        <v>5</v>
      </c>
      <c r="H78" s="643">
        <v>31.995000000000001</v>
      </c>
      <c r="I78" s="644">
        <f t="shared" si="2"/>
        <v>159.97499999999999</v>
      </c>
      <c r="J78" s="644">
        <v>-3.9</v>
      </c>
      <c r="K78" s="645">
        <f t="shared" si="3"/>
        <v>-163.875</v>
      </c>
    </row>
    <row r="79" spans="2:15" ht="13" customHeight="1">
      <c r="B79" s="661">
        <v>45565</v>
      </c>
      <c r="C79" s="634" t="s">
        <v>381</v>
      </c>
      <c r="D79" s="631" t="s">
        <v>382</v>
      </c>
      <c r="E79" s="631" t="s">
        <v>336</v>
      </c>
      <c r="F79" s="631" t="s">
        <v>337</v>
      </c>
      <c r="G79" s="642">
        <v>5</v>
      </c>
      <c r="H79" s="643">
        <v>21.465</v>
      </c>
      <c r="I79" s="644">
        <f t="shared" si="2"/>
        <v>107.325</v>
      </c>
      <c r="J79" s="644">
        <v>-3.9</v>
      </c>
      <c r="K79" s="645">
        <f t="shared" si="3"/>
        <v>-111.22500000000001</v>
      </c>
    </row>
    <row r="80" spans="2:15" ht="13" customHeight="1">
      <c r="B80" s="661">
        <v>45565</v>
      </c>
      <c r="C80" s="634" t="s">
        <v>379</v>
      </c>
      <c r="D80" s="631" t="s">
        <v>380</v>
      </c>
      <c r="E80" s="631" t="s">
        <v>336</v>
      </c>
      <c r="F80" s="631" t="s">
        <v>337</v>
      </c>
      <c r="G80" s="642">
        <v>4</v>
      </c>
      <c r="H80" s="643">
        <v>33</v>
      </c>
      <c r="I80" s="644">
        <f t="shared" si="2"/>
        <v>132</v>
      </c>
      <c r="J80" s="644">
        <v>-3.9</v>
      </c>
      <c r="K80" s="645">
        <f t="shared" si="3"/>
        <v>-135.9</v>
      </c>
    </row>
    <row r="81" spans="2:14" ht="13" customHeight="1">
      <c r="B81" s="661">
        <v>45565</v>
      </c>
      <c r="C81" s="633" t="s">
        <v>340</v>
      </c>
      <c r="D81" s="638" t="s">
        <v>341</v>
      </c>
      <c r="E81" s="638" t="s">
        <v>342</v>
      </c>
      <c r="F81" s="638" t="s">
        <v>343</v>
      </c>
      <c r="G81" s="642">
        <v>5</v>
      </c>
      <c r="H81" s="643">
        <v>22.7</v>
      </c>
      <c r="I81" s="644">
        <f t="shared" si="2"/>
        <v>113.5</v>
      </c>
      <c r="J81" s="644">
        <v>-1</v>
      </c>
      <c r="K81" s="645">
        <f t="shared" si="3"/>
        <v>-114.5</v>
      </c>
    </row>
    <row r="82" spans="2:14" ht="13" customHeight="1">
      <c r="B82" s="661">
        <v>45458</v>
      </c>
      <c r="C82" s="954" t="s">
        <v>360</v>
      </c>
      <c r="D82" s="638" t="s">
        <v>361</v>
      </c>
      <c r="E82" s="638" t="s">
        <v>332</v>
      </c>
      <c r="F82" s="660" t="s">
        <v>333</v>
      </c>
      <c r="G82" s="642">
        <v>10</v>
      </c>
      <c r="H82" s="643">
        <v>17.399999999999999</v>
      </c>
      <c r="I82" s="644">
        <f t="shared" si="2"/>
        <v>174</v>
      </c>
      <c r="J82" s="644">
        <v>-10.5</v>
      </c>
      <c r="K82" s="645">
        <f t="shared" si="3"/>
        <v>-184.5</v>
      </c>
    </row>
    <row r="83" spans="2:14" ht="13" customHeight="1">
      <c r="B83" s="661">
        <v>45456</v>
      </c>
      <c r="C83" s="634" t="s">
        <v>386</v>
      </c>
      <c r="D83" s="631" t="s">
        <v>387</v>
      </c>
      <c r="E83" s="631" t="s">
        <v>336</v>
      </c>
      <c r="F83" s="631" t="s">
        <v>337</v>
      </c>
      <c r="G83" s="642">
        <v>10</v>
      </c>
      <c r="H83" s="643">
        <v>14.497999999999999</v>
      </c>
      <c r="I83" s="644">
        <f t="shared" si="2"/>
        <v>144.97999999999999</v>
      </c>
      <c r="J83" s="644">
        <v>-3.9</v>
      </c>
      <c r="K83" s="645">
        <f t="shared" si="3"/>
        <v>-148.88</v>
      </c>
    </row>
    <row r="84" spans="2:14" ht="13" customHeight="1">
      <c r="B84" s="661">
        <v>45456</v>
      </c>
      <c r="C84" s="770" t="s">
        <v>388</v>
      </c>
      <c r="D84" s="638" t="s">
        <v>389</v>
      </c>
      <c r="E84" s="638" t="s">
        <v>342</v>
      </c>
      <c r="F84" s="638" t="s">
        <v>343</v>
      </c>
      <c r="G84" s="642">
        <v>3</v>
      </c>
      <c r="H84" s="643">
        <v>69.094999999999999</v>
      </c>
      <c r="I84" s="644">
        <f t="shared" si="2"/>
        <v>207.285</v>
      </c>
      <c r="J84" s="644">
        <v>-3</v>
      </c>
      <c r="K84" s="645">
        <f t="shared" si="3"/>
        <v>-210.285</v>
      </c>
    </row>
    <row r="85" spans="2:14" ht="13" customHeight="1">
      <c r="B85" s="661">
        <v>45456</v>
      </c>
      <c r="C85" s="634" t="s">
        <v>373</v>
      </c>
      <c r="D85" s="631" t="s">
        <v>374</v>
      </c>
      <c r="E85" s="631" t="s">
        <v>358</v>
      </c>
      <c r="F85" s="631" t="s">
        <v>370</v>
      </c>
      <c r="G85" s="642">
        <v>3</v>
      </c>
      <c r="H85" s="643">
        <v>36.89</v>
      </c>
      <c r="I85" s="644">
        <f t="shared" si="2"/>
        <v>110.67</v>
      </c>
      <c r="J85" s="644">
        <v>-4.9000000000000004</v>
      </c>
      <c r="K85" s="645">
        <f t="shared" si="3"/>
        <v>-115.57000000000001</v>
      </c>
    </row>
    <row r="86" spans="2:14" ht="13" customHeight="1">
      <c r="B86" s="661">
        <v>45437</v>
      </c>
      <c r="C86" s="954" t="s">
        <v>364</v>
      </c>
      <c r="D86" s="638" t="s">
        <v>365</v>
      </c>
      <c r="E86" s="638" t="s">
        <v>332</v>
      </c>
      <c r="F86" s="659" t="s">
        <v>333</v>
      </c>
      <c r="G86" s="642">
        <v>10</v>
      </c>
      <c r="H86" s="643">
        <v>13.95</v>
      </c>
      <c r="I86" s="644">
        <f t="shared" si="2"/>
        <v>139.5</v>
      </c>
      <c r="J86" s="644">
        <v>-10</v>
      </c>
      <c r="K86" s="645">
        <f t="shared" si="3"/>
        <v>-149.5</v>
      </c>
    </row>
    <row r="87" spans="2:14" ht="13" customHeight="1">
      <c r="B87" s="661">
        <v>45430</v>
      </c>
      <c r="C87" s="634" t="s">
        <v>390</v>
      </c>
      <c r="D87" s="631" t="s">
        <v>391</v>
      </c>
      <c r="E87" s="631" t="s">
        <v>332</v>
      </c>
      <c r="F87" s="659" t="s">
        <v>333</v>
      </c>
      <c r="G87" s="642">
        <v>-9</v>
      </c>
      <c r="H87" s="643">
        <v>10</v>
      </c>
      <c r="I87" s="644">
        <f t="shared" si="2"/>
        <v>-90</v>
      </c>
      <c r="J87" s="644">
        <v>-2</v>
      </c>
      <c r="K87" s="645">
        <f t="shared" si="3"/>
        <v>88</v>
      </c>
    </row>
    <row r="88" spans="2:14" ht="13" customHeight="1">
      <c r="B88" s="661">
        <v>45407</v>
      </c>
      <c r="C88" s="954" t="s">
        <v>371</v>
      </c>
      <c r="D88" s="638" t="s">
        <v>372</v>
      </c>
      <c r="E88" s="638" t="s">
        <v>332</v>
      </c>
      <c r="F88" s="660" t="s">
        <v>333</v>
      </c>
      <c r="G88" s="642">
        <v>10</v>
      </c>
      <c r="H88" s="643">
        <v>11.53</v>
      </c>
      <c r="I88" s="644">
        <f t="shared" si="2"/>
        <v>115.3</v>
      </c>
      <c r="J88" s="644">
        <v>-10.199999999999999</v>
      </c>
      <c r="K88" s="645">
        <f t="shared" si="3"/>
        <v>-125.5</v>
      </c>
    </row>
    <row r="89" spans="2:14" ht="13" customHeight="1">
      <c r="B89" s="661">
        <v>45377</v>
      </c>
      <c r="C89" s="634" t="s">
        <v>383</v>
      </c>
      <c r="D89" s="631" t="s">
        <v>384</v>
      </c>
      <c r="E89" s="631" t="s">
        <v>342</v>
      </c>
      <c r="F89" s="631" t="s">
        <v>343</v>
      </c>
      <c r="G89" s="642">
        <v>3</v>
      </c>
      <c r="H89" s="643">
        <v>45.9</v>
      </c>
      <c r="I89" s="644">
        <f t="shared" si="2"/>
        <v>137.69999999999999</v>
      </c>
      <c r="J89" s="644">
        <v>-4.9000000000000004</v>
      </c>
      <c r="K89" s="645">
        <f t="shared" si="3"/>
        <v>-142.6</v>
      </c>
    </row>
    <row r="90" spans="2:14" ht="13" customHeight="1">
      <c r="B90" s="661">
        <v>45377</v>
      </c>
      <c r="C90" s="633" t="s">
        <v>340</v>
      </c>
      <c r="D90" s="638" t="s">
        <v>341</v>
      </c>
      <c r="E90" s="638" t="s">
        <v>342</v>
      </c>
      <c r="F90" s="638" t="s">
        <v>343</v>
      </c>
      <c r="G90" s="642">
        <v>5</v>
      </c>
      <c r="H90" s="643">
        <v>20.6</v>
      </c>
      <c r="I90" s="644">
        <f t="shared" si="2"/>
        <v>103</v>
      </c>
      <c r="J90" s="644">
        <v>-1</v>
      </c>
      <c r="K90" s="645">
        <f t="shared" si="3"/>
        <v>-104</v>
      </c>
    </row>
    <row r="91" spans="2:14" ht="13" customHeight="1">
      <c r="B91" s="661">
        <v>45377</v>
      </c>
      <c r="C91" s="633" t="s">
        <v>334</v>
      </c>
      <c r="D91" s="638" t="s">
        <v>335</v>
      </c>
      <c r="E91" s="638" t="s">
        <v>336</v>
      </c>
      <c r="F91" s="638" t="s">
        <v>337</v>
      </c>
      <c r="G91" s="642">
        <v>4</v>
      </c>
      <c r="H91" s="643">
        <v>33.4</v>
      </c>
      <c r="I91" s="644">
        <f t="shared" si="2"/>
        <v>133.6</v>
      </c>
      <c r="J91" s="644">
        <v>-3.9</v>
      </c>
      <c r="K91" s="645">
        <f t="shared" si="3"/>
        <v>-137.5</v>
      </c>
    </row>
    <row r="92" spans="2:14" ht="13" customHeight="1">
      <c r="B92" s="661">
        <v>45377</v>
      </c>
      <c r="C92" s="634" t="s">
        <v>373</v>
      </c>
      <c r="D92" s="631" t="s">
        <v>374</v>
      </c>
      <c r="E92" s="631" t="s">
        <v>358</v>
      </c>
      <c r="F92" s="631" t="s">
        <v>370</v>
      </c>
      <c r="G92" s="642">
        <v>4</v>
      </c>
      <c r="H92" s="643">
        <v>37.729999999999997</v>
      </c>
      <c r="I92" s="644">
        <f t="shared" si="2"/>
        <v>150.91999999999999</v>
      </c>
      <c r="J92" s="644">
        <v>-4.9000000000000004</v>
      </c>
      <c r="K92" s="645">
        <f t="shared" si="3"/>
        <v>-155.82</v>
      </c>
    </row>
    <row r="93" spans="2:14" ht="13" customHeight="1">
      <c r="B93" s="661">
        <v>45376</v>
      </c>
      <c r="C93" s="633" t="s">
        <v>345</v>
      </c>
      <c r="D93" s="638" t="s">
        <v>346</v>
      </c>
      <c r="E93" s="638" t="s">
        <v>336</v>
      </c>
      <c r="F93" s="638" t="s">
        <v>337</v>
      </c>
      <c r="G93" s="642">
        <v>10</v>
      </c>
      <c r="H93" s="643">
        <v>34</v>
      </c>
      <c r="I93" s="644">
        <f t="shared" si="2"/>
        <v>340</v>
      </c>
      <c r="J93" s="644">
        <v>-3.9</v>
      </c>
      <c r="K93" s="645">
        <f t="shared" si="3"/>
        <v>-343.9</v>
      </c>
    </row>
    <row r="94" spans="2:14" ht="13" customHeight="1">
      <c r="B94" s="661">
        <v>45377</v>
      </c>
      <c r="C94" s="770" t="s">
        <v>388</v>
      </c>
      <c r="D94" s="638" t="s">
        <v>389</v>
      </c>
      <c r="E94" s="638" t="s">
        <v>342</v>
      </c>
      <c r="F94" s="638" t="s">
        <v>343</v>
      </c>
      <c r="G94" s="642">
        <v>2</v>
      </c>
      <c r="H94" s="643">
        <v>67.319999999999993</v>
      </c>
      <c r="I94" s="644">
        <f t="shared" si="2"/>
        <v>134.63999999999999</v>
      </c>
      <c r="J94" s="644">
        <v>-3</v>
      </c>
      <c r="K94" s="645">
        <f t="shared" si="3"/>
        <v>-137.63999999999999</v>
      </c>
    </row>
    <row r="95" spans="2:14" ht="13" customHeight="1">
      <c r="B95" s="661">
        <v>45372</v>
      </c>
      <c r="C95" s="954" t="s">
        <v>377</v>
      </c>
      <c r="D95" s="638" t="s">
        <v>378</v>
      </c>
      <c r="E95" s="638" t="s">
        <v>332</v>
      </c>
      <c r="F95" s="660" t="s">
        <v>333</v>
      </c>
      <c r="G95" s="642">
        <v>5</v>
      </c>
      <c r="H95" s="643">
        <v>39.6</v>
      </c>
      <c r="I95" s="644">
        <f t="shared" si="2"/>
        <v>198</v>
      </c>
      <c r="J95" s="644">
        <v>-10.4</v>
      </c>
      <c r="K95" s="645">
        <f t="shared" si="3"/>
        <v>-208.4</v>
      </c>
    </row>
    <row r="96" spans="2:14" ht="13" customHeight="1">
      <c r="B96" s="661">
        <v>45323</v>
      </c>
      <c r="C96" s="633" t="s">
        <v>392</v>
      </c>
      <c r="D96" s="858" t="s">
        <v>226</v>
      </c>
      <c r="E96" s="858" t="s">
        <v>226</v>
      </c>
      <c r="F96" s="858" t="s">
        <v>226</v>
      </c>
      <c r="G96" s="859" t="s">
        <v>226</v>
      </c>
      <c r="H96" s="860" t="s">
        <v>350</v>
      </c>
      <c r="I96" s="861" t="s">
        <v>226</v>
      </c>
      <c r="J96" s="644">
        <v>-7.5</v>
      </c>
      <c r="K96" s="645">
        <v>-7.5</v>
      </c>
      <c r="N96" s="347"/>
    </row>
    <row r="97" spans="2:15" ht="16" customHeight="1">
      <c r="B97" s="661">
        <v>45347</v>
      </c>
      <c r="C97" s="954" t="s">
        <v>364</v>
      </c>
      <c r="D97" s="638" t="s">
        <v>365</v>
      </c>
      <c r="E97" s="638" t="s">
        <v>332</v>
      </c>
      <c r="F97" s="660" t="s">
        <v>333</v>
      </c>
      <c r="G97" s="642">
        <v>5</v>
      </c>
      <c r="H97" s="643">
        <v>14.82</v>
      </c>
      <c r="I97" s="644">
        <f>H97*G97</f>
        <v>74.099999999999994</v>
      </c>
      <c r="J97" s="644">
        <v>-10.1</v>
      </c>
      <c r="K97" s="645">
        <f>-I97+J97</f>
        <v>-84.199999999999989</v>
      </c>
      <c r="L97" s="777">
        <v>2024</v>
      </c>
      <c r="M97" t="s">
        <v>393</v>
      </c>
    </row>
    <row r="98" spans="2:15" ht="13" customHeight="1">
      <c r="B98" s="661">
        <v>45314</v>
      </c>
      <c r="C98" s="954" t="s">
        <v>330</v>
      </c>
      <c r="D98" s="638" t="s">
        <v>331</v>
      </c>
      <c r="E98" s="638" t="s">
        <v>332</v>
      </c>
      <c r="F98" s="660" t="s">
        <v>333</v>
      </c>
      <c r="G98" s="642">
        <v>5</v>
      </c>
      <c r="H98" s="643">
        <v>25.32</v>
      </c>
      <c r="I98" s="644">
        <f>H98*G98</f>
        <v>126.6</v>
      </c>
      <c r="J98" s="644">
        <v>-10.199999999999999</v>
      </c>
      <c r="K98" s="645">
        <f>-I98+J98</f>
        <v>-136.79999999999998</v>
      </c>
      <c r="L98" s="532">
        <f>SUM(K72:K99)</f>
        <v>-3915.6750000000002</v>
      </c>
      <c r="M98" s="532">
        <f>SUM(I72:I99)</f>
        <v>3715.7949999999996</v>
      </c>
      <c r="O98" s="346" t="s">
        <v>347</v>
      </c>
    </row>
    <row r="99" spans="2:15" ht="13" customHeight="1">
      <c r="B99" s="778">
        <v>45292</v>
      </c>
      <c r="C99" s="930" t="s">
        <v>348</v>
      </c>
      <c r="D99" s="780" t="s">
        <v>394</v>
      </c>
      <c r="E99" s="931" t="s">
        <v>226</v>
      </c>
      <c r="F99" s="931" t="s">
        <v>226</v>
      </c>
      <c r="G99" s="932" t="s">
        <v>226</v>
      </c>
      <c r="H99" s="933" t="s">
        <v>350</v>
      </c>
      <c r="I99" s="824" t="s">
        <v>226</v>
      </c>
      <c r="J99" s="783">
        <v>-38</v>
      </c>
      <c r="K99" s="857">
        <v>-38</v>
      </c>
      <c r="L99" s="891" t="s">
        <v>351</v>
      </c>
      <c r="M99" s="891" t="s">
        <v>352</v>
      </c>
      <c r="N99" s="640">
        <f>-L98-M98</f>
        <v>199.88000000000056</v>
      </c>
      <c r="O99" s="532">
        <f>SUM(J72:J99)</f>
        <v>-199.88000000000002</v>
      </c>
    </row>
    <row r="100" spans="2:15" ht="13" customHeight="1">
      <c r="B100" s="661">
        <v>45653</v>
      </c>
      <c r="C100" s="633" t="s">
        <v>334</v>
      </c>
      <c r="D100" s="638" t="s">
        <v>335</v>
      </c>
      <c r="E100" s="638" t="s">
        <v>336</v>
      </c>
      <c r="F100" s="638" t="s">
        <v>337</v>
      </c>
      <c r="G100" s="642">
        <v>5</v>
      </c>
      <c r="H100" s="643">
        <v>33.14</v>
      </c>
      <c r="I100" s="644">
        <f t="shared" ref="I100:I131" si="4">H100*G100</f>
        <v>165.7</v>
      </c>
      <c r="J100" s="644">
        <v>-3.9</v>
      </c>
      <c r="K100" s="645">
        <f t="shared" ref="K100:K131" si="5">-I100+J100</f>
        <v>-169.6</v>
      </c>
      <c r="N100" s="347" t="s">
        <v>353</v>
      </c>
    </row>
    <row r="101" spans="2:15" ht="13" customHeight="1">
      <c r="B101" s="661">
        <v>45653</v>
      </c>
      <c r="C101" s="633" t="s">
        <v>366</v>
      </c>
      <c r="D101" s="638" t="s">
        <v>367</v>
      </c>
      <c r="E101" s="638" t="s">
        <v>358</v>
      </c>
      <c r="F101" s="638" t="s">
        <v>359</v>
      </c>
      <c r="G101" s="642">
        <v>5</v>
      </c>
      <c r="H101" s="643">
        <v>29</v>
      </c>
      <c r="I101" s="644">
        <f t="shared" si="4"/>
        <v>145</v>
      </c>
      <c r="J101" s="644">
        <v>-3</v>
      </c>
      <c r="K101" s="645">
        <f t="shared" si="5"/>
        <v>-148</v>
      </c>
    </row>
    <row r="102" spans="2:15" ht="13" customHeight="1">
      <c r="B102" s="661">
        <v>45653</v>
      </c>
      <c r="C102" s="634" t="s">
        <v>379</v>
      </c>
      <c r="D102" s="631" t="s">
        <v>380</v>
      </c>
      <c r="E102" s="631" t="s">
        <v>336</v>
      </c>
      <c r="F102" s="631" t="s">
        <v>337</v>
      </c>
      <c r="G102" s="642">
        <v>3</v>
      </c>
      <c r="H102" s="643">
        <v>29.6</v>
      </c>
      <c r="I102" s="644">
        <f t="shared" si="4"/>
        <v>88.800000000000011</v>
      </c>
      <c r="J102" s="644">
        <v>-3.9</v>
      </c>
      <c r="K102" s="645">
        <f t="shared" si="5"/>
        <v>-92.700000000000017</v>
      </c>
    </row>
    <row r="103" spans="2:15" ht="13" customHeight="1">
      <c r="B103" s="661">
        <v>45653</v>
      </c>
      <c r="C103" s="954" t="s">
        <v>330</v>
      </c>
      <c r="D103" s="638" t="s">
        <v>331</v>
      </c>
      <c r="E103" s="638" t="s">
        <v>332</v>
      </c>
      <c r="F103" s="660" t="s">
        <v>333</v>
      </c>
      <c r="G103" s="642">
        <v>5</v>
      </c>
      <c r="H103" s="643">
        <v>24.06</v>
      </c>
      <c r="I103" s="644">
        <f t="shared" si="4"/>
        <v>120.3</v>
      </c>
      <c r="J103" s="644">
        <v>-10.199999999999999</v>
      </c>
      <c r="K103" s="645">
        <f t="shared" si="5"/>
        <v>-130.5</v>
      </c>
    </row>
    <row r="104" spans="2:15" ht="13" customHeight="1">
      <c r="B104" s="661">
        <v>45253</v>
      </c>
      <c r="C104" s="954" t="s">
        <v>364</v>
      </c>
      <c r="D104" s="638" t="s">
        <v>365</v>
      </c>
      <c r="E104" s="638" t="s">
        <v>332</v>
      </c>
      <c r="F104" s="660" t="s">
        <v>333</v>
      </c>
      <c r="G104" s="642">
        <v>5</v>
      </c>
      <c r="H104" s="643">
        <v>16.579999999999998</v>
      </c>
      <c r="I104" s="644">
        <f t="shared" si="4"/>
        <v>82.899999999999991</v>
      </c>
      <c r="J104" s="644">
        <v>-10.8</v>
      </c>
      <c r="K104" s="645">
        <f t="shared" si="5"/>
        <v>-93.699999999999989</v>
      </c>
    </row>
    <row r="105" spans="2:15" ht="13" customHeight="1">
      <c r="B105" s="661">
        <v>45231</v>
      </c>
      <c r="C105" s="770" t="s">
        <v>388</v>
      </c>
      <c r="D105" s="638" t="s">
        <v>389</v>
      </c>
      <c r="E105" s="638" t="s">
        <v>342</v>
      </c>
      <c r="F105" s="638" t="s">
        <v>343</v>
      </c>
      <c r="G105" s="642">
        <v>20</v>
      </c>
      <c r="H105" s="643">
        <v>57</v>
      </c>
      <c r="I105" s="644">
        <f t="shared" si="4"/>
        <v>1140</v>
      </c>
      <c r="J105" s="644">
        <v>-1</v>
      </c>
      <c r="K105" s="645">
        <f t="shared" si="5"/>
        <v>-1141</v>
      </c>
    </row>
    <row r="106" spans="2:15" ht="13" customHeight="1">
      <c r="B106" s="661">
        <v>45231</v>
      </c>
      <c r="C106" s="631" t="s">
        <v>395</v>
      </c>
      <c r="D106" s="631" t="s">
        <v>396</v>
      </c>
      <c r="E106" s="631" t="s">
        <v>342</v>
      </c>
      <c r="F106" s="631" t="s">
        <v>343</v>
      </c>
      <c r="G106" s="642">
        <v>-15</v>
      </c>
      <c r="H106" s="643">
        <v>76</v>
      </c>
      <c r="I106" s="644">
        <f t="shared" si="4"/>
        <v>-1140</v>
      </c>
      <c r="J106" s="644">
        <v>-1</v>
      </c>
      <c r="K106" s="645">
        <f t="shared" si="5"/>
        <v>1139</v>
      </c>
      <c r="L106" t="s">
        <v>397</v>
      </c>
    </row>
    <row r="107" spans="2:15" ht="13" customHeight="1">
      <c r="B107" s="661">
        <v>45223</v>
      </c>
      <c r="C107" s="954" t="s">
        <v>377</v>
      </c>
      <c r="D107" s="638" t="s">
        <v>378</v>
      </c>
      <c r="E107" s="638" t="s">
        <v>332</v>
      </c>
      <c r="F107" s="660" t="s">
        <v>333</v>
      </c>
      <c r="G107" s="642">
        <v>10</v>
      </c>
      <c r="H107" s="643">
        <v>32.4</v>
      </c>
      <c r="I107" s="644">
        <f t="shared" si="4"/>
        <v>324</v>
      </c>
      <c r="J107" s="644">
        <v>-10.199999999999999</v>
      </c>
      <c r="K107" s="645">
        <f t="shared" si="5"/>
        <v>-334.2</v>
      </c>
    </row>
    <row r="108" spans="2:15" ht="13" customHeight="1">
      <c r="B108" s="661">
        <v>45194</v>
      </c>
      <c r="C108" s="634" t="s">
        <v>375</v>
      </c>
      <c r="D108" s="631" t="s">
        <v>376</v>
      </c>
      <c r="E108" s="631" t="s">
        <v>342</v>
      </c>
      <c r="F108" s="631" t="s">
        <v>343</v>
      </c>
      <c r="G108" s="646">
        <v>5</v>
      </c>
      <c r="H108" s="643">
        <v>30.3</v>
      </c>
      <c r="I108" s="644">
        <f t="shared" si="4"/>
        <v>151.5</v>
      </c>
      <c r="J108" s="644">
        <v>-4.9000000000000004</v>
      </c>
      <c r="K108" s="645">
        <f t="shared" si="5"/>
        <v>-156.4</v>
      </c>
    </row>
    <row r="109" spans="2:15" ht="13" customHeight="1">
      <c r="B109" s="661">
        <v>45194</v>
      </c>
      <c r="C109" s="633" t="s">
        <v>340</v>
      </c>
      <c r="D109" s="638" t="s">
        <v>341</v>
      </c>
      <c r="E109" s="638" t="s">
        <v>342</v>
      </c>
      <c r="F109" s="638" t="s">
        <v>343</v>
      </c>
      <c r="G109" s="642">
        <v>5</v>
      </c>
      <c r="H109" s="643">
        <v>19.5</v>
      </c>
      <c r="I109" s="644">
        <f t="shared" si="4"/>
        <v>97.5</v>
      </c>
      <c r="J109" s="644">
        <v>-1</v>
      </c>
      <c r="K109" s="645">
        <f t="shared" si="5"/>
        <v>-98.5</v>
      </c>
    </row>
    <row r="110" spans="2:15" ht="13" customHeight="1">
      <c r="B110" s="661">
        <v>45194</v>
      </c>
      <c r="C110" s="634" t="s">
        <v>373</v>
      </c>
      <c r="D110" s="631" t="s">
        <v>374</v>
      </c>
      <c r="E110" s="631" t="s">
        <v>358</v>
      </c>
      <c r="F110" s="631" t="s">
        <v>370</v>
      </c>
      <c r="G110" s="646">
        <v>5</v>
      </c>
      <c r="H110" s="643">
        <v>31.33</v>
      </c>
      <c r="I110" s="644">
        <f t="shared" si="4"/>
        <v>156.64999999999998</v>
      </c>
      <c r="J110" s="644">
        <v>-4.9000000000000004</v>
      </c>
      <c r="K110" s="645">
        <f t="shared" si="5"/>
        <v>-161.54999999999998</v>
      </c>
    </row>
    <row r="111" spans="2:15" ht="13" customHeight="1">
      <c r="B111" s="661">
        <v>45195</v>
      </c>
      <c r="C111" s="954" t="s">
        <v>360</v>
      </c>
      <c r="D111" s="638" t="s">
        <v>361</v>
      </c>
      <c r="E111" s="638" t="s">
        <v>332</v>
      </c>
      <c r="F111" s="660" t="s">
        <v>333</v>
      </c>
      <c r="G111" s="642">
        <v>10</v>
      </c>
      <c r="H111" s="643">
        <v>14.9</v>
      </c>
      <c r="I111" s="644">
        <f t="shared" si="4"/>
        <v>149</v>
      </c>
      <c r="J111" s="644">
        <v>-10</v>
      </c>
      <c r="K111" s="645">
        <f t="shared" si="5"/>
        <v>-159</v>
      </c>
    </row>
    <row r="112" spans="2:15" ht="13" customHeight="1">
      <c r="B112" s="661">
        <v>45161</v>
      </c>
      <c r="C112" s="954" t="s">
        <v>338</v>
      </c>
      <c r="D112" s="638" t="s">
        <v>339</v>
      </c>
      <c r="E112" s="638" t="s">
        <v>332</v>
      </c>
      <c r="F112" s="659" t="s">
        <v>333</v>
      </c>
      <c r="G112" s="642">
        <v>10</v>
      </c>
      <c r="H112" s="643">
        <v>13.8</v>
      </c>
      <c r="I112" s="644">
        <f t="shared" si="4"/>
        <v>138</v>
      </c>
      <c r="J112" s="644">
        <v>-10</v>
      </c>
      <c r="K112" s="645">
        <f t="shared" si="5"/>
        <v>-148</v>
      </c>
    </row>
    <row r="113" spans="2:11" ht="13" customHeight="1">
      <c r="B113" s="661">
        <v>45139</v>
      </c>
      <c r="C113" s="634" t="s">
        <v>379</v>
      </c>
      <c r="D113" s="631" t="s">
        <v>380</v>
      </c>
      <c r="E113" s="631" t="s">
        <v>336</v>
      </c>
      <c r="F113" s="631" t="s">
        <v>337</v>
      </c>
      <c r="G113" s="642">
        <v>5</v>
      </c>
      <c r="H113" s="643">
        <v>30.75</v>
      </c>
      <c r="I113" s="644">
        <f t="shared" si="4"/>
        <v>153.75</v>
      </c>
      <c r="J113" s="644">
        <v>-3.9</v>
      </c>
      <c r="K113" s="645">
        <f t="shared" si="5"/>
        <v>-157.65</v>
      </c>
    </row>
    <row r="114" spans="2:11" ht="13" customHeight="1">
      <c r="B114" s="661">
        <v>45139</v>
      </c>
      <c r="C114" s="633" t="s">
        <v>366</v>
      </c>
      <c r="D114" s="638" t="s">
        <v>367</v>
      </c>
      <c r="E114" s="638" t="s">
        <v>358</v>
      </c>
      <c r="F114" s="638" t="s">
        <v>359</v>
      </c>
      <c r="G114" s="642">
        <v>5</v>
      </c>
      <c r="H114" s="643">
        <v>29.45</v>
      </c>
      <c r="I114" s="644">
        <f t="shared" si="4"/>
        <v>147.25</v>
      </c>
      <c r="J114" s="644">
        <v>-1</v>
      </c>
      <c r="K114" s="645">
        <f t="shared" si="5"/>
        <v>-148.25</v>
      </c>
    </row>
    <row r="115" spans="2:11" ht="13" customHeight="1">
      <c r="B115" s="661">
        <v>45129</v>
      </c>
      <c r="C115" s="954" t="s">
        <v>371</v>
      </c>
      <c r="D115" s="638" t="s">
        <v>372</v>
      </c>
      <c r="E115" s="638" t="s">
        <v>332</v>
      </c>
      <c r="F115" s="660" t="s">
        <v>333</v>
      </c>
      <c r="G115" s="642">
        <v>20</v>
      </c>
      <c r="H115" s="643">
        <v>11.52</v>
      </c>
      <c r="I115" s="644">
        <f t="shared" si="4"/>
        <v>230.39999999999998</v>
      </c>
      <c r="J115" s="644">
        <v>-20.399999999999999</v>
      </c>
      <c r="K115" s="645">
        <f t="shared" si="5"/>
        <v>-250.79999999999998</v>
      </c>
    </row>
    <row r="116" spans="2:11" ht="13" customHeight="1">
      <c r="B116" s="661">
        <v>45103</v>
      </c>
      <c r="C116" s="634" t="s">
        <v>381</v>
      </c>
      <c r="D116" s="631" t="s">
        <v>382</v>
      </c>
      <c r="E116" s="631" t="s">
        <v>336</v>
      </c>
      <c r="F116" s="631" t="s">
        <v>337</v>
      </c>
      <c r="G116" s="642">
        <v>8</v>
      </c>
      <c r="H116" s="643">
        <v>30.4</v>
      </c>
      <c r="I116" s="644">
        <f t="shared" si="4"/>
        <v>243.2</v>
      </c>
      <c r="J116" s="644">
        <v>-3.9</v>
      </c>
      <c r="K116" s="645">
        <f t="shared" si="5"/>
        <v>-247.1</v>
      </c>
    </row>
    <row r="117" spans="2:11" ht="13" customHeight="1">
      <c r="B117" s="661">
        <v>45103</v>
      </c>
      <c r="C117" s="633" t="s">
        <v>340</v>
      </c>
      <c r="D117" s="638" t="s">
        <v>341</v>
      </c>
      <c r="E117" s="638" t="s">
        <v>342</v>
      </c>
      <c r="F117" s="638" t="s">
        <v>343</v>
      </c>
      <c r="G117" s="642">
        <v>5</v>
      </c>
      <c r="H117" s="643">
        <v>19.36</v>
      </c>
      <c r="I117" s="644">
        <f t="shared" si="4"/>
        <v>96.8</v>
      </c>
      <c r="J117" s="644">
        <v>-1</v>
      </c>
      <c r="K117" s="645">
        <f t="shared" si="5"/>
        <v>-97.8</v>
      </c>
    </row>
    <row r="118" spans="2:11" ht="13" customHeight="1">
      <c r="B118" s="661">
        <v>45103</v>
      </c>
      <c r="C118" s="634" t="s">
        <v>386</v>
      </c>
      <c r="D118" s="631" t="s">
        <v>387</v>
      </c>
      <c r="E118" s="631" t="s">
        <v>336</v>
      </c>
      <c r="F118" s="631" t="s">
        <v>337</v>
      </c>
      <c r="G118" s="642">
        <v>3</v>
      </c>
      <c r="H118" s="643">
        <v>29</v>
      </c>
      <c r="I118" s="644">
        <f t="shared" si="4"/>
        <v>87</v>
      </c>
      <c r="J118" s="644">
        <v>-3.9</v>
      </c>
      <c r="K118" s="645">
        <f t="shared" si="5"/>
        <v>-90.9</v>
      </c>
    </row>
    <row r="119" spans="2:11" ht="13" customHeight="1">
      <c r="B119" s="661">
        <v>45081</v>
      </c>
      <c r="C119" s="954" t="s">
        <v>360</v>
      </c>
      <c r="D119" s="638" t="s">
        <v>361</v>
      </c>
      <c r="E119" s="638" t="s">
        <v>332</v>
      </c>
      <c r="F119" s="660" t="s">
        <v>333</v>
      </c>
      <c r="G119" s="642">
        <v>6</v>
      </c>
      <c r="H119" s="643">
        <v>16.02</v>
      </c>
      <c r="I119" s="644">
        <f t="shared" si="4"/>
        <v>96.12</v>
      </c>
      <c r="J119" s="644">
        <v>-10.199999999999999</v>
      </c>
      <c r="K119" s="645">
        <f t="shared" si="5"/>
        <v>-106.32000000000001</v>
      </c>
    </row>
    <row r="120" spans="2:11" ht="13" customHeight="1">
      <c r="B120" s="661">
        <v>45081</v>
      </c>
      <c r="C120" s="954" t="s">
        <v>364</v>
      </c>
      <c r="D120" s="638" t="s">
        <v>365</v>
      </c>
      <c r="E120" s="638" t="s">
        <v>332</v>
      </c>
      <c r="F120" s="660" t="s">
        <v>333</v>
      </c>
      <c r="G120" s="642">
        <v>6</v>
      </c>
      <c r="H120" s="643">
        <v>18.2</v>
      </c>
      <c r="I120" s="644">
        <f t="shared" si="4"/>
        <v>109.19999999999999</v>
      </c>
      <c r="J120" s="644">
        <v>-10.199999999999999</v>
      </c>
      <c r="K120" s="645">
        <f t="shared" si="5"/>
        <v>-119.39999999999999</v>
      </c>
    </row>
    <row r="121" spans="2:11" ht="13" customHeight="1">
      <c r="B121" s="661">
        <v>45048</v>
      </c>
      <c r="C121" s="633" t="s">
        <v>366</v>
      </c>
      <c r="D121" s="638" t="s">
        <v>367</v>
      </c>
      <c r="E121" s="638" t="s">
        <v>358</v>
      </c>
      <c r="F121" s="638" t="s">
        <v>359</v>
      </c>
      <c r="G121" s="642">
        <v>3</v>
      </c>
      <c r="H121" s="643">
        <v>28.425000000000001</v>
      </c>
      <c r="I121" s="644">
        <f t="shared" si="4"/>
        <v>85.275000000000006</v>
      </c>
      <c r="J121" s="644"/>
      <c r="K121" s="645">
        <f t="shared" si="5"/>
        <v>-85.275000000000006</v>
      </c>
    </row>
    <row r="122" spans="2:11" ht="13" customHeight="1">
      <c r="B122" s="661">
        <v>45048</v>
      </c>
      <c r="C122" s="633" t="s">
        <v>356</v>
      </c>
      <c r="D122" s="638" t="s">
        <v>357</v>
      </c>
      <c r="E122" s="638" t="s">
        <v>358</v>
      </c>
      <c r="F122" s="638" t="s">
        <v>359</v>
      </c>
      <c r="G122" s="642">
        <v>2</v>
      </c>
      <c r="H122" s="643">
        <v>46.16</v>
      </c>
      <c r="I122" s="644">
        <f t="shared" si="4"/>
        <v>92.32</v>
      </c>
      <c r="J122" s="644"/>
      <c r="K122" s="645">
        <f t="shared" si="5"/>
        <v>-92.32</v>
      </c>
    </row>
    <row r="123" spans="2:11" ht="13" customHeight="1">
      <c r="B123" s="661">
        <v>45048</v>
      </c>
      <c r="C123" s="633" t="s">
        <v>362</v>
      </c>
      <c r="D123" s="638" t="s">
        <v>363</v>
      </c>
      <c r="E123" s="638" t="s">
        <v>336</v>
      </c>
      <c r="F123" s="638" t="s">
        <v>337</v>
      </c>
      <c r="G123" s="642">
        <v>8</v>
      </c>
      <c r="H123" s="643">
        <v>37.43</v>
      </c>
      <c r="I123" s="644">
        <f t="shared" si="4"/>
        <v>299.44</v>
      </c>
      <c r="J123" s="644">
        <v>-3.9</v>
      </c>
      <c r="K123" s="645">
        <f t="shared" si="5"/>
        <v>-303.33999999999997</v>
      </c>
    </row>
    <row r="124" spans="2:11" ht="13" customHeight="1">
      <c r="B124" s="661">
        <v>45048</v>
      </c>
      <c r="C124" s="954" t="s">
        <v>338</v>
      </c>
      <c r="D124" s="638" t="s">
        <v>339</v>
      </c>
      <c r="E124" s="638" t="s">
        <v>332</v>
      </c>
      <c r="F124" s="660" t="s">
        <v>333</v>
      </c>
      <c r="G124" s="642">
        <v>6</v>
      </c>
      <c r="H124" s="643">
        <v>11.85</v>
      </c>
      <c r="I124" s="644">
        <f t="shared" si="4"/>
        <v>71.099999999999994</v>
      </c>
      <c r="J124" s="644">
        <v>-10</v>
      </c>
      <c r="K124" s="645">
        <f t="shared" si="5"/>
        <v>-81.099999999999994</v>
      </c>
    </row>
    <row r="125" spans="2:11" ht="13" customHeight="1">
      <c r="B125" s="661">
        <v>45048</v>
      </c>
      <c r="C125" s="954" t="s">
        <v>330</v>
      </c>
      <c r="D125" s="638" t="s">
        <v>331</v>
      </c>
      <c r="E125" s="638" t="s">
        <v>332</v>
      </c>
      <c r="F125" s="660" t="s">
        <v>333</v>
      </c>
      <c r="G125" s="642">
        <v>6</v>
      </c>
      <c r="H125" s="643">
        <v>24.32</v>
      </c>
      <c r="I125" s="644">
        <f t="shared" si="4"/>
        <v>145.92000000000002</v>
      </c>
      <c r="J125" s="644">
        <v>-10</v>
      </c>
      <c r="K125" s="645">
        <f t="shared" si="5"/>
        <v>-155.92000000000002</v>
      </c>
    </row>
    <row r="126" spans="2:11" ht="13" customHeight="1">
      <c r="B126" s="661">
        <v>45035</v>
      </c>
      <c r="C126" s="633" t="s">
        <v>354</v>
      </c>
      <c r="D126" s="638" t="s">
        <v>355</v>
      </c>
      <c r="E126" s="638" t="s">
        <v>336</v>
      </c>
      <c r="F126" s="638" t="s">
        <v>337</v>
      </c>
      <c r="G126" s="642">
        <v>8</v>
      </c>
      <c r="H126" s="643">
        <v>18.114999999999998</v>
      </c>
      <c r="I126" s="644">
        <f t="shared" si="4"/>
        <v>144.91999999999999</v>
      </c>
      <c r="J126" s="644">
        <v>-3.9</v>
      </c>
      <c r="K126" s="645">
        <f t="shared" si="5"/>
        <v>-148.82</v>
      </c>
    </row>
    <row r="127" spans="2:11" ht="13" customHeight="1">
      <c r="B127" s="661">
        <v>45035</v>
      </c>
      <c r="C127" s="633" t="s">
        <v>340</v>
      </c>
      <c r="D127" s="638" t="s">
        <v>341</v>
      </c>
      <c r="E127" s="638" t="s">
        <v>342</v>
      </c>
      <c r="F127" s="638" t="s">
        <v>343</v>
      </c>
      <c r="G127" s="642">
        <v>2</v>
      </c>
      <c r="H127" s="643">
        <v>20.244</v>
      </c>
      <c r="I127" s="644">
        <f t="shared" si="4"/>
        <v>40.488</v>
      </c>
      <c r="J127" s="644">
        <v>-1</v>
      </c>
      <c r="K127" s="645">
        <f t="shared" si="5"/>
        <v>-41.488</v>
      </c>
    </row>
    <row r="128" spans="2:11" ht="13" customHeight="1">
      <c r="B128" s="661">
        <v>45035</v>
      </c>
      <c r="C128" s="633" t="s">
        <v>356</v>
      </c>
      <c r="D128" s="638" t="s">
        <v>357</v>
      </c>
      <c r="E128" s="638" t="s">
        <v>358</v>
      </c>
      <c r="F128" s="638" t="s">
        <v>359</v>
      </c>
      <c r="G128" s="642">
        <v>2</v>
      </c>
      <c r="H128" s="643">
        <v>46.33</v>
      </c>
      <c r="I128" s="644">
        <f t="shared" si="4"/>
        <v>92.66</v>
      </c>
      <c r="J128" s="644">
        <v>-1</v>
      </c>
      <c r="K128" s="645">
        <f t="shared" si="5"/>
        <v>-93.66</v>
      </c>
    </row>
    <row r="129" spans="2:11" ht="13" customHeight="1">
      <c r="B129" s="661">
        <v>45035</v>
      </c>
      <c r="C129" s="633" t="s">
        <v>366</v>
      </c>
      <c r="D129" s="638" t="s">
        <v>367</v>
      </c>
      <c r="E129" s="638" t="s">
        <v>358</v>
      </c>
      <c r="F129" s="638" t="s">
        <v>359</v>
      </c>
      <c r="G129" s="642">
        <v>2</v>
      </c>
      <c r="H129" s="643">
        <v>29.46</v>
      </c>
      <c r="I129" s="644">
        <f t="shared" si="4"/>
        <v>58.92</v>
      </c>
      <c r="J129" s="644">
        <v>-1</v>
      </c>
      <c r="K129" s="645">
        <f t="shared" si="5"/>
        <v>-59.92</v>
      </c>
    </row>
    <row r="130" spans="2:11" ht="13" customHeight="1">
      <c r="B130" s="661">
        <v>45021</v>
      </c>
      <c r="C130" s="954" t="s">
        <v>360</v>
      </c>
      <c r="D130" s="638" t="s">
        <v>361</v>
      </c>
      <c r="E130" s="638" t="s">
        <v>332</v>
      </c>
      <c r="F130" s="659" t="s">
        <v>333</v>
      </c>
      <c r="G130" s="642">
        <v>2</v>
      </c>
      <c r="H130" s="643">
        <v>16.3</v>
      </c>
      <c r="I130" s="644">
        <f t="shared" si="4"/>
        <v>32.6</v>
      </c>
      <c r="J130" s="644">
        <v>-10</v>
      </c>
      <c r="K130" s="645">
        <f t="shared" si="5"/>
        <v>-42.6</v>
      </c>
    </row>
    <row r="131" spans="2:11" ht="13" customHeight="1">
      <c r="B131" s="661">
        <v>45021</v>
      </c>
      <c r="C131" s="954" t="s">
        <v>364</v>
      </c>
      <c r="D131" s="638" t="s">
        <v>365</v>
      </c>
      <c r="E131" s="638" t="s">
        <v>332</v>
      </c>
      <c r="F131" s="659" t="s">
        <v>333</v>
      </c>
      <c r="G131" s="642">
        <v>2</v>
      </c>
      <c r="H131" s="643">
        <v>17.8</v>
      </c>
      <c r="I131" s="644">
        <f t="shared" si="4"/>
        <v>35.6</v>
      </c>
      <c r="J131" s="644">
        <v>-10</v>
      </c>
      <c r="K131" s="645">
        <f t="shared" si="5"/>
        <v>-45.6</v>
      </c>
    </row>
    <row r="132" spans="2:11" ht="13" customHeight="1">
      <c r="B132" s="661">
        <v>45021</v>
      </c>
      <c r="C132" s="954" t="s">
        <v>338</v>
      </c>
      <c r="D132" s="638" t="s">
        <v>339</v>
      </c>
      <c r="E132" s="638" t="s">
        <v>332</v>
      </c>
      <c r="F132" s="659" t="s">
        <v>333</v>
      </c>
      <c r="G132" s="642">
        <v>2</v>
      </c>
      <c r="H132" s="643">
        <v>12.1</v>
      </c>
      <c r="I132" s="644">
        <f t="shared" ref="I132:I163" si="6">H132*G132</f>
        <v>24.2</v>
      </c>
      <c r="J132" s="644">
        <v>-10</v>
      </c>
      <c r="K132" s="645">
        <f t="shared" ref="K132:K163" si="7">-I132+J132</f>
        <v>-34.200000000000003</v>
      </c>
    </row>
    <row r="133" spans="2:11" ht="13" customHeight="1">
      <c r="B133" s="661">
        <v>45021</v>
      </c>
      <c r="C133" s="954" t="s">
        <v>330</v>
      </c>
      <c r="D133" s="638" t="s">
        <v>331</v>
      </c>
      <c r="E133" s="638" t="s">
        <v>332</v>
      </c>
      <c r="F133" s="659" t="s">
        <v>333</v>
      </c>
      <c r="G133" s="642">
        <v>2</v>
      </c>
      <c r="H133" s="643">
        <v>22.8</v>
      </c>
      <c r="I133" s="644">
        <f t="shared" si="6"/>
        <v>45.6</v>
      </c>
      <c r="J133" s="644">
        <v>-10</v>
      </c>
      <c r="K133" s="645">
        <f t="shared" si="7"/>
        <v>-55.6</v>
      </c>
    </row>
    <row r="134" spans="2:11" ht="13" customHeight="1">
      <c r="B134" s="661">
        <v>45035</v>
      </c>
      <c r="C134" s="633" t="s">
        <v>398</v>
      </c>
      <c r="D134" s="638" t="s">
        <v>391</v>
      </c>
      <c r="E134" s="638" t="s">
        <v>332</v>
      </c>
      <c r="F134" s="660" t="s">
        <v>333</v>
      </c>
      <c r="G134" s="642">
        <v>7</v>
      </c>
      <c r="H134" s="643">
        <v>9.17</v>
      </c>
      <c r="I134" s="644">
        <f t="shared" si="6"/>
        <v>64.19</v>
      </c>
      <c r="J134" s="644">
        <v>-1</v>
      </c>
      <c r="K134" s="645">
        <f t="shared" si="7"/>
        <v>-65.19</v>
      </c>
    </row>
    <row r="135" spans="2:11" ht="13" customHeight="1">
      <c r="B135" s="661">
        <v>45035</v>
      </c>
      <c r="C135" s="633" t="s">
        <v>334</v>
      </c>
      <c r="D135" s="638" t="s">
        <v>335</v>
      </c>
      <c r="E135" s="638" t="s">
        <v>336</v>
      </c>
      <c r="F135" s="638" t="s">
        <v>337</v>
      </c>
      <c r="G135" s="642">
        <v>3</v>
      </c>
      <c r="H135" s="643">
        <v>35.94</v>
      </c>
      <c r="I135" s="644">
        <f t="shared" si="6"/>
        <v>107.82</v>
      </c>
      <c r="J135" s="644">
        <v>-3.9</v>
      </c>
      <c r="K135" s="645">
        <f t="shared" si="7"/>
        <v>-111.72</v>
      </c>
    </row>
    <row r="136" spans="2:11" ht="13" customHeight="1">
      <c r="B136" s="638" t="s">
        <v>399</v>
      </c>
      <c r="C136" s="633" t="s">
        <v>362</v>
      </c>
      <c r="D136" s="638" t="s">
        <v>363</v>
      </c>
      <c r="E136" s="638" t="s">
        <v>336</v>
      </c>
      <c r="F136" s="638" t="s">
        <v>337</v>
      </c>
      <c r="G136" s="642">
        <v>2</v>
      </c>
      <c r="H136" s="643">
        <v>34.979999999999997</v>
      </c>
      <c r="I136" s="644">
        <f t="shared" si="6"/>
        <v>69.959999999999994</v>
      </c>
      <c r="J136" s="644">
        <v>-3.9</v>
      </c>
      <c r="K136" s="645">
        <f t="shared" si="7"/>
        <v>-73.86</v>
      </c>
    </row>
    <row r="137" spans="2:11" ht="13" customHeight="1">
      <c r="B137" s="631" t="s">
        <v>399</v>
      </c>
      <c r="C137" s="634" t="s">
        <v>386</v>
      </c>
      <c r="D137" s="631" t="s">
        <v>387</v>
      </c>
      <c r="E137" s="631" t="s">
        <v>336</v>
      </c>
      <c r="F137" s="631" t="s">
        <v>337</v>
      </c>
      <c r="G137" s="646">
        <v>2</v>
      </c>
      <c r="H137" s="647">
        <v>32.24</v>
      </c>
      <c r="I137" s="648">
        <f t="shared" si="6"/>
        <v>64.48</v>
      </c>
      <c r="J137" s="648">
        <v>-3.9</v>
      </c>
      <c r="K137" s="649">
        <f t="shared" si="7"/>
        <v>-68.38000000000001</v>
      </c>
    </row>
    <row r="138" spans="2:11" ht="13" customHeight="1">
      <c r="B138" s="631" t="s">
        <v>399</v>
      </c>
      <c r="C138" s="631" t="s">
        <v>356</v>
      </c>
      <c r="D138" s="631" t="s">
        <v>357</v>
      </c>
      <c r="E138" s="631" t="s">
        <v>358</v>
      </c>
      <c r="F138" s="631" t="s">
        <v>359</v>
      </c>
      <c r="G138" s="646">
        <v>3</v>
      </c>
      <c r="H138" s="647">
        <v>45.37</v>
      </c>
      <c r="I138" s="648">
        <f t="shared" si="6"/>
        <v>136.10999999999999</v>
      </c>
      <c r="J138" s="648"/>
      <c r="K138" s="649">
        <f t="shared" si="7"/>
        <v>-136.10999999999999</v>
      </c>
    </row>
    <row r="139" spans="2:11" ht="13" customHeight="1">
      <c r="B139" s="631" t="s">
        <v>399</v>
      </c>
      <c r="C139" s="631" t="s">
        <v>340</v>
      </c>
      <c r="D139" s="631" t="s">
        <v>341</v>
      </c>
      <c r="E139" s="631" t="s">
        <v>342</v>
      </c>
      <c r="F139" s="631" t="s">
        <v>343</v>
      </c>
      <c r="G139" s="646">
        <v>3</v>
      </c>
      <c r="H139" s="647">
        <v>20.492999999999999</v>
      </c>
      <c r="I139" s="648">
        <f t="shared" si="6"/>
        <v>61.478999999999999</v>
      </c>
      <c r="J139" s="648"/>
      <c r="K139" s="649">
        <f t="shared" si="7"/>
        <v>-61.478999999999999</v>
      </c>
    </row>
    <row r="140" spans="2:11" ht="13" customHeight="1">
      <c r="B140" s="631" t="s">
        <v>399</v>
      </c>
      <c r="C140" s="631" t="s">
        <v>366</v>
      </c>
      <c r="D140" s="631" t="s">
        <v>367</v>
      </c>
      <c r="E140" s="631" t="s">
        <v>358</v>
      </c>
      <c r="F140" s="631" t="s">
        <v>359</v>
      </c>
      <c r="G140" s="646">
        <v>5</v>
      </c>
      <c r="H140" s="647">
        <v>29.434999999999999</v>
      </c>
      <c r="I140" s="648">
        <f t="shared" si="6"/>
        <v>147.17499999999998</v>
      </c>
      <c r="J140" s="648"/>
      <c r="K140" s="649">
        <f t="shared" si="7"/>
        <v>-147.17499999999998</v>
      </c>
    </row>
    <row r="141" spans="2:11" ht="13" customHeight="1">
      <c r="B141" s="631" t="s">
        <v>399</v>
      </c>
      <c r="C141" s="631" t="s">
        <v>400</v>
      </c>
      <c r="D141" s="631" t="s">
        <v>401</v>
      </c>
      <c r="E141" s="631" t="s">
        <v>342</v>
      </c>
      <c r="F141" s="631" t="s">
        <v>343</v>
      </c>
      <c r="G141" s="646">
        <v>-13</v>
      </c>
      <c r="H141" s="647">
        <v>31.635000000000002</v>
      </c>
      <c r="I141" s="648">
        <f t="shared" si="6"/>
        <v>-411.255</v>
      </c>
      <c r="J141" s="648"/>
      <c r="K141" s="649">
        <f t="shared" si="7"/>
        <v>411.255</v>
      </c>
    </row>
    <row r="142" spans="2:11" ht="13" customHeight="1">
      <c r="B142" s="631" t="s">
        <v>399</v>
      </c>
      <c r="C142" s="631" t="s">
        <v>400</v>
      </c>
      <c r="D142" s="631" t="s">
        <v>401</v>
      </c>
      <c r="E142" s="631" t="s">
        <v>342</v>
      </c>
      <c r="F142" s="631" t="s">
        <v>343</v>
      </c>
      <c r="G142" s="646">
        <v>-3</v>
      </c>
      <c r="H142" s="647">
        <v>31.65</v>
      </c>
      <c r="I142" s="648">
        <f t="shared" si="6"/>
        <v>-94.949999999999989</v>
      </c>
      <c r="J142" s="648"/>
      <c r="K142" s="649">
        <f t="shared" si="7"/>
        <v>94.949999999999989</v>
      </c>
    </row>
    <row r="143" spans="2:11" ht="13" customHeight="1">
      <c r="B143" s="631" t="s">
        <v>402</v>
      </c>
      <c r="C143" s="634" t="s">
        <v>383</v>
      </c>
      <c r="D143" s="631" t="s">
        <v>384</v>
      </c>
      <c r="E143" s="631" t="s">
        <v>342</v>
      </c>
      <c r="F143" s="631" t="s">
        <v>343</v>
      </c>
      <c r="G143" s="646">
        <v>2</v>
      </c>
      <c r="H143" s="647">
        <v>47.634999999999998</v>
      </c>
      <c r="I143" s="648">
        <f t="shared" si="6"/>
        <v>95.27</v>
      </c>
      <c r="J143" s="648">
        <v>-4.9000000000000004</v>
      </c>
      <c r="K143" s="649">
        <f t="shared" si="7"/>
        <v>-100.17</v>
      </c>
    </row>
    <row r="144" spans="2:11" ht="13" customHeight="1">
      <c r="B144" s="631" t="s">
        <v>403</v>
      </c>
      <c r="C144" s="634" t="s">
        <v>373</v>
      </c>
      <c r="D144" s="631" t="s">
        <v>374</v>
      </c>
      <c r="E144" s="631" t="s">
        <v>358</v>
      </c>
      <c r="F144" s="631" t="s">
        <v>370</v>
      </c>
      <c r="G144" s="646">
        <v>3</v>
      </c>
      <c r="H144" s="647">
        <v>35.5</v>
      </c>
      <c r="I144" s="648">
        <f t="shared" si="6"/>
        <v>106.5</v>
      </c>
      <c r="J144" s="648">
        <v>-4.9000000000000004</v>
      </c>
      <c r="K144" s="649">
        <f t="shared" si="7"/>
        <v>-111.4</v>
      </c>
    </row>
    <row r="145" spans="2:11" ht="13" customHeight="1">
      <c r="B145" s="631" t="s">
        <v>403</v>
      </c>
      <c r="C145" s="634" t="s">
        <v>375</v>
      </c>
      <c r="D145" s="631" t="s">
        <v>376</v>
      </c>
      <c r="E145" s="631" t="s">
        <v>342</v>
      </c>
      <c r="F145" s="631" t="s">
        <v>343</v>
      </c>
      <c r="G145" s="646">
        <v>3</v>
      </c>
      <c r="H145" s="647">
        <v>26.25</v>
      </c>
      <c r="I145" s="648">
        <f t="shared" si="6"/>
        <v>78.75</v>
      </c>
      <c r="J145" s="648">
        <v>-4.9000000000000004</v>
      </c>
      <c r="K145" s="649">
        <f t="shared" si="7"/>
        <v>-83.65</v>
      </c>
    </row>
    <row r="146" spans="2:11" ht="13" customHeight="1">
      <c r="B146" s="631" t="s">
        <v>404</v>
      </c>
      <c r="C146" s="634" t="s">
        <v>354</v>
      </c>
      <c r="D146" s="631" t="s">
        <v>355</v>
      </c>
      <c r="E146" s="631" t="s">
        <v>336</v>
      </c>
      <c r="F146" s="631" t="s">
        <v>337</v>
      </c>
      <c r="G146" s="646">
        <v>2</v>
      </c>
      <c r="H146" s="647">
        <v>17.512</v>
      </c>
      <c r="I146" s="648">
        <f t="shared" si="6"/>
        <v>35.024000000000001</v>
      </c>
      <c r="J146" s="648">
        <v>-3.9</v>
      </c>
      <c r="K146" s="649">
        <f t="shared" si="7"/>
        <v>-38.923999999999999</v>
      </c>
    </row>
    <row r="147" spans="2:11" ht="13" customHeight="1">
      <c r="B147" s="631" t="s">
        <v>404</v>
      </c>
      <c r="C147" s="634" t="s">
        <v>381</v>
      </c>
      <c r="D147" s="631" t="s">
        <v>382</v>
      </c>
      <c r="E147" s="631" t="s">
        <v>336</v>
      </c>
      <c r="F147" s="631" t="s">
        <v>337</v>
      </c>
      <c r="G147" s="646">
        <v>2</v>
      </c>
      <c r="H147" s="647">
        <v>28.844999999999999</v>
      </c>
      <c r="I147" s="648">
        <f t="shared" si="6"/>
        <v>57.69</v>
      </c>
      <c r="J147" s="648">
        <v>-3.9</v>
      </c>
      <c r="K147" s="649">
        <f t="shared" si="7"/>
        <v>-61.589999999999996</v>
      </c>
    </row>
    <row r="148" spans="2:11" ht="13" customHeight="1">
      <c r="B148" s="631" t="s">
        <v>404</v>
      </c>
      <c r="C148" s="634" t="s">
        <v>379</v>
      </c>
      <c r="D148" s="631" t="s">
        <v>380</v>
      </c>
      <c r="E148" s="631" t="s">
        <v>336</v>
      </c>
      <c r="F148" s="631" t="s">
        <v>337</v>
      </c>
      <c r="G148" s="646">
        <v>3</v>
      </c>
      <c r="H148" s="647">
        <v>31.67</v>
      </c>
      <c r="I148" s="648">
        <f t="shared" si="6"/>
        <v>95.01</v>
      </c>
      <c r="J148" s="648">
        <v>-3.9</v>
      </c>
      <c r="K148" s="649">
        <f t="shared" si="7"/>
        <v>-98.910000000000011</v>
      </c>
    </row>
    <row r="149" spans="2:11" ht="13" customHeight="1">
      <c r="B149" s="631" t="s">
        <v>405</v>
      </c>
      <c r="C149" s="634" t="s">
        <v>390</v>
      </c>
      <c r="D149" s="631" t="s">
        <v>391</v>
      </c>
      <c r="E149" s="631" t="s">
        <v>332</v>
      </c>
      <c r="F149" s="659" t="s">
        <v>333</v>
      </c>
      <c r="G149" s="646">
        <v>2</v>
      </c>
      <c r="H149" s="647">
        <v>8.8659999999999997</v>
      </c>
      <c r="I149" s="648">
        <f t="shared" si="6"/>
        <v>17.731999999999999</v>
      </c>
      <c r="J149" s="648">
        <v>-1</v>
      </c>
      <c r="K149" s="649">
        <f t="shared" si="7"/>
        <v>-18.731999999999999</v>
      </c>
    </row>
    <row r="150" spans="2:11" ht="13" customHeight="1">
      <c r="B150" s="631" t="s">
        <v>405</v>
      </c>
      <c r="C150" s="955" t="s">
        <v>338</v>
      </c>
      <c r="D150" s="638" t="s">
        <v>339</v>
      </c>
      <c r="E150" s="631" t="s">
        <v>332</v>
      </c>
      <c r="F150" s="659" t="s">
        <v>333</v>
      </c>
      <c r="G150" s="646">
        <v>2</v>
      </c>
      <c r="H150" s="647">
        <v>11.5</v>
      </c>
      <c r="I150" s="648">
        <f t="shared" si="6"/>
        <v>23</v>
      </c>
      <c r="J150" s="648">
        <v>-10</v>
      </c>
      <c r="K150" s="649">
        <f t="shared" si="7"/>
        <v>-33</v>
      </c>
    </row>
    <row r="151" spans="2:11" ht="13" customHeight="1">
      <c r="B151" s="631" t="s">
        <v>405</v>
      </c>
      <c r="C151" s="955" t="s">
        <v>364</v>
      </c>
      <c r="D151" s="638" t="s">
        <v>365</v>
      </c>
      <c r="E151" s="631" t="s">
        <v>332</v>
      </c>
      <c r="F151" s="659" t="s">
        <v>333</v>
      </c>
      <c r="G151" s="646">
        <v>2</v>
      </c>
      <c r="H151" s="647">
        <v>17.3</v>
      </c>
      <c r="I151" s="648">
        <f t="shared" si="6"/>
        <v>34.6</v>
      </c>
      <c r="J151" s="648">
        <v>-10</v>
      </c>
      <c r="K151" s="649">
        <f t="shared" si="7"/>
        <v>-44.6</v>
      </c>
    </row>
    <row r="152" spans="2:11" ht="13" customHeight="1">
      <c r="B152" s="631" t="s">
        <v>405</v>
      </c>
      <c r="C152" s="955" t="s">
        <v>330</v>
      </c>
      <c r="D152" s="638" t="s">
        <v>331</v>
      </c>
      <c r="E152" s="631" t="s">
        <v>332</v>
      </c>
      <c r="F152" s="659" t="s">
        <v>333</v>
      </c>
      <c r="G152" s="646">
        <v>2</v>
      </c>
      <c r="H152" s="647">
        <v>22.8</v>
      </c>
      <c r="I152" s="648">
        <f t="shared" si="6"/>
        <v>45.6</v>
      </c>
      <c r="J152" s="648">
        <v>-10</v>
      </c>
      <c r="K152" s="649">
        <f t="shared" si="7"/>
        <v>-55.6</v>
      </c>
    </row>
    <row r="153" spans="2:11" ht="13" customHeight="1">
      <c r="B153" s="631" t="s">
        <v>405</v>
      </c>
      <c r="C153" s="955" t="s">
        <v>360</v>
      </c>
      <c r="D153" s="638" t="s">
        <v>361</v>
      </c>
      <c r="E153" s="631" t="s">
        <v>332</v>
      </c>
      <c r="F153" s="659" t="s">
        <v>333</v>
      </c>
      <c r="G153" s="646">
        <v>2</v>
      </c>
      <c r="H153" s="647">
        <v>15.8</v>
      </c>
      <c r="I153" s="648">
        <f t="shared" si="6"/>
        <v>31.6</v>
      </c>
      <c r="J153" s="648">
        <v>-10</v>
      </c>
      <c r="K153" s="649">
        <f t="shared" si="7"/>
        <v>-41.6</v>
      </c>
    </row>
    <row r="154" spans="2:11" ht="13" customHeight="1">
      <c r="B154" s="631" t="s">
        <v>406</v>
      </c>
      <c r="C154" s="631" t="s">
        <v>400</v>
      </c>
      <c r="D154" s="631" t="s">
        <v>401</v>
      </c>
      <c r="E154" s="631" t="s">
        <v>342</v>
      </c>
      <c r="F154" s="631" t="s">
        <v>343</v>
      </c>
      <c r="G154" s="646">
        <v>1</v>
      </c>
      <c r="H154" s="647">
        <v>31.204999999999998</v>
      </c>
      <c r="I154" s="648">
        <f t="shared" si="6"/>
        <v>31.204999999999998</v>
      </c>
      <c r="J154" s="648"/>
      <c r="K154" s="649">
        <f t="shared" si="7"/>
        <v>-31.204999999999998</v>
      </c>
    </row>
    <row r="155" spans="2:11" ht="13" customHeight="1">
      <c r="B155" s="631" t="s">
        <v>406</v>
      </c>
      <c r="C155" s="631" t="s">
        <v>356</v>
      </c>
      <c r="D155" s="631" t="s">
        <v>357</v>
      </c>
      <c r="E155" s="631" t="s">
        <v>358</v>
      </c>
      <c r="F155" s="631" t="s">
        <v>359</v>
      </c>
      <c r="G155" s="646">
        <v>2</v>
      </c>
      <c r="H155" s="647">
        <v>43.32</v>
      </c>
      <c r="I155" s="648">
        <f t="shared" si="6"/>
        <v>86.64</v>
      </c>
      <c r="J155" s="648"/>
      <c r="K155" s="649">
        <f t="shared" si="7"/>
        <v>-86.64</v>
      </c>
    </row>
    <row r="156" spans="2:11" ht="13" customHeight="1">
      <c r="B156" s="631" t="s">
        <v>406</v>
      </c>
      <c r="C156" s="631" t="s">
        <v>366</v>
      </c>
      <c r="D156" s="631" t="s">
        <v>367</v>
      </c>
      <c r="E156" s="631" t="s">
        <v>358</v>
      </c>
      <c r="F156" s="631" t="s">
        <v>359</v>
      </c>
      <c r="G156" s="646">
        <v>5</v>
      </c>
      <c r="H156" s="647">
        <v>27.715</v>
      </c>
      <c r="I156" s="648">
        <f t="shared" si="6"/>
        <v>138.57499999999999</v>
      </c>
      <c r="J156" s="648"/>
      <c r="K156" s="649">
        <f t="shared" si="7"/>
        <v>-138.57499999999999</v>
      </c>
    </row>
    <row r="157" spans="2:11" ht="13" customHeight="1">
      <c r="B157" s="631" t="s">
        <v>407</v>
      </c>
      <c r="C157" s="631" t="s">
        <v>340</v>
      </c>
      <c r="D157" s="631" t="s">
        <v>341</v>
      </c>
      <c r="E157" s="631" t="s">
        <v>342</v>
      </c>
      <c r="F157" s="631" t="s">
        <v>343</v>
      </c>
      <c r="G157" s="646">
        <v>3</v>
      </c>
      <c r="H157" s="647">
        <v>21.094999999999999</v>
      </c>
      <c r="I157" s="648">
        <f t="shared" si="6"/>
        <v>63.284999999999997</v>
      </c>
      <c r="J157" s="648"/>
      <c r="K157" s="649">
        <f t="shared" si="7"/>
        <v>-63.284999999999997</v>
      </c>
    </row>
    <row r="158" spans="2:11" ht="13" customHeight="1">
      <c r="B158" s="631" t="s">
        <v>408</v>
      </c>
      <c r="C158" s="631" t="s">
        <v>366</v>
      </c>
      <c r="D158" s="631" t="s">
        <v>367</v>
      </c>
      <c r="E158" s="631" t="s">
        <v>358</v>
      </c>
      <c r="F158" s="631" t="s">
        <v>359</v>
      </c>
      <c r="G158" s="646">
        <v>5</v>
      </c>
      <c r="H158" s="647">
        <v>31.68</v>
      </c>
      <c r="I158" s="648">
        <f t="shared" si="6"/>
        <v>158.4</v>
      </c>
      <c r="J158" s="648"/>
      <c r="K158" s="649">
        <f t="shared" si="7"/>
        <v>-158.4</v>
      </c>
    </row>
    <row r="159" spans="2:11" ht="13" customHeight="1">
      <c r="B159" s="631" t="s">
        <v>408</v>
      </c>
      <c r="C159" s="631" t="s">
        <v>340</v>
      </c>
      <c r="D159" s="631" t="s">
        <v>341</v>
      </c>
      <c r="E159" s="631" t="s">
        <v>342</v>
      </c>
      <c r="F159" s="631" t="s">
        <v>343</v>
      </c>
      <c r="G159" s="646">
        <v>7</v>
      </c>
      <c r="H159" s="647">
        <v>21.95</v>
      </c>
      <c r="I159" s="648">
        <f t="shared" si="6"/>
        <v>153.65</v>
      </c>
      <c r="J159" s="648"/>
      <c r="K159" s="649">
        <f t="shared" si="7"/>
        <v>-153.65</v>
      </c>
    </row>
    <row r="160" spans="2:11" ht="13" customHeight="1">
      <c r="B160" s="631" t="s">
        <v>409</v>
      </c>
      <c r="C160" s="631" t="s">
        <v>400</v>
      </c>
      <c r="D160" s="631" t="s">
        <v>401</v>
      </c>
      <c r="E160" s="631" t="s">
        <v>342</v>
      </c>
      <c r="F160" s="631" t="s">
        <v>343</v>
      </c>
      <c r="G160" s="646">
        <v>-3</v>
      </c>
      <c r="H160" s="647">
        <v>32.445</v>
      </c>
      <c r="I160" s="648">
        <f t="shared" si="6"/>
        <v>-97.335000000000008</v>
      </c>
      <c r="J160" s="648">
        <v>-1</v>
      </c>
      <c r="K160" s="649">
        <f t="shared" si="7"/>
        <v>96.335000000000008</v>
      </c>
    </row>
    <row r="161" spans="2:15" ht="13" customHeight="1">
      <c r="B161" s="631" t="s">
        <v>410</v>
      </c>
      <c r="C161" s="631" t="s">
        <v>400</v>
      </c>
      <c r="D161" s="631" t="s">
        <v>401</v>
      </c>
      <c r="E161" s="631" t="s">
        <v>342</v>
      </c>
      <c r="F161" s="631" t="s">
        <v>343</v>
      </c>
      <c r="G161" s="646">
        <v>1</v>
      </c>
      <c r="H161" s="647">
        <v>33.244999999999997</v>
      </c>
      <c r="I161" s="648">
        <f t="shared" si="6"/>
        <v>33.244999999999997</v>
      </c>
      <c r="J161" s="648"/>
      <c r="K161" s="649">
        <f t="shared" si="7"/>
        <v>-33.244999999999997</v>
      </c>
    </row>
    <row r="162" spans="2:15" ht="13" customHeight="1">
      <c r="B162" s="631" t="s">
        <v>410</v>
      </c>
      <c r="C162" s="631" t="s">
        <v>395</v>
      </c>
      <c r="D162" s="631" t="s">
        <v>396</v>
      </c>
      <c r="E162" s="631" t="s">
        <v>342</v>
      </c>
      <c r="F162" s="631" t="s">
        <v>343</v>
      </c>
      <c r="G162" s="646">
        <v>1</v>
      </c>
      <c r="H162" s="647">
        <v>71.989999999999995</v>
      </c>
      <c r="I162" s="648">
        <f t="shared" si="6"/>
        <v>71.989999999999995</v>
      </c>
      <c r="J162" s="648"/>
      <c r="K162" s="649">
        <f t="shared" si="7"/>
        <v>-71.989999999999995</v>
      </c>
    </row>
    <row r="163" spans="2:15" ht="13" customHeight="1">
      <c r="B163" s="631" t="s">
        <v>410</v>
      </c>
      <c r="C163" s="631" t="s">
        <v>356</v>
      </c>
      <c r="D163" s="631" t="s">
        <v>357</v>
      </c>
      <c r="E163" s="631" t="s">
        <v>358</v>
      </c>
      <c r="F163" s="631" t="s">
        <v>359</v>
      </c>
      <c r="G163" s="646">
        <v>3</v>
      </c>
      <c r="H163" s="647">
        <v>44.93</v>
      </c>
      <c r="I163" s="648">
        <f t="shared" si="6"/>
        <v>134.79</v>
      </c>
      <c r="J163" s="648"/>
      <c r="K163" s="649">
        <f t="shared" si="7"/>
        <v>-134.79</v>
      </c>
    </row>
    <row r="164" spans="2:15" ht="16" customHeight="1">
      <c r="B164" s="631" t="s">
        <v>411</v>
      </c>
      <c r="C164" s="631" t="s">
        <v>400</v>
      </c>
      <c r="D164" s="631" t="s">
        <v>401</v>
      </c>
      <c r="E164" s="631" t="s">
        <v>342</v>
      </c>
      <c r="F164" s="631" t="s">
        <v>343</v>
      </c>
      <c r="G164" s="646">
        <v>1</v>
      </c>
      <c r="H164" s="647">
        <v>31.074999999999999</v>
      </c>
      <c r="I164" s="648">
        <f t="shared" ref="I164:I178" si="8">H164*G164</f>
        <v>31.074999999999999</v>
      </c>
      <c r="J164" s="648"/>
      <c r="K164" s="649">
        <f t="shared" ref="K164:K178" si="9">-I164+J164</f>
        <v>-31.074999999999999</v>
      </c>
      <c r="L164" s="777">
        <v>2023</v>
      </c>
      <c r="M164" t="s">
        <v>412</v>
      </c>
    </row>
    <row r="165" spans="2:15" ht="14" customHeight="1" thickBot="1">
      <c r="B165" s="631" t="s">
        <v>411</v>
      </c>
      <c r="C165" s="631" t="s">
        <v>356</v>
      </c>
      <c r="D165" s="631" t="s">
        <v>357</v>
      </c>
      <c r="E165" s="631" t="s">
        <v>358</v>
      </c>
      <c r="F165" s="631" t="s">
        <v>359</v>
      </c>
      <c r="G165" s="646">
        <v>2</v>
      </c>
      <c r="H165" s="647">
        <v>42.494999999999997</v>
      </c>
      <c r="I165" s="648">
        <f t="shared" si="8"/>
        <v>84.99</v>
      </c>
      <c r="J165" s="648"/>
      <c r="K165" s="649">
        <f t="shared" si="9"/>
        <v>-84.99</v>
      </c>
      <c r="L165" s="532">
        <f>SUM(K100:K166)</f>
        <v>-6028.5780000000004</v>
      </c>
      <c r="M165" s="532">
        <f>SUM(I100:I166)</f>
        <v>5747.3779999999997</v>
      </c>
      <c r="O165" s="346" t="s">
        <v>347</v>
      </c>
    </row>
    <row r="166" spans="2:15" ht="14" customHeight="1" thickBot="1">
      <c r="B166" s="637" t="s">
        <v>411</v>
      </c>
      <c r="C166" s="637" t="s">
        <v>395</v>
      </c>
      <c r="D166" s="637" t="s">
        <v>396</v>
      </c>
      <c r="E166" s="637" t="s">
        <v>342</v>
      </c>
      <c r="F166" s="637" t="s">
        <v>343</v>
      </c>
      <c r="G166" s="650">
        <v>2</v>
      </c>
      <c r="H166" s="651">
        <v>69.484999999999999</v>
      </c>
      <c r="I166" s="652">
        <f t="shared" si="8"/>
        <v>138.97</v>
      </c>
      <c r="J166" s="652"/>
      <c r="K166" s="653">
        <f t="shared" si="9"/>
        <v>-138.97</v>
      </c>
      <c r="L166" s="616" t="s">
        <v>351</v>
      </c>
      <c r="M166" s="616" t="s">
        <v>352</v>
      </c>
      <c r="N166" s="640">
        <f>-L165-M165</f>
        <v>281.20000000000073</v>
      </c>
      <c r="O166" s="532">
        <f>SUM(J100:J166)</f>
        <v>-281.20000000000005</v>
      </c>
    </row>
    <row r="167" spans="2:15" ht="13" customHeight="1">
      <c r="B167" s="638" t="s">
        <v>413</v>
      </c>
      <c r="C167" s="638" t="s">
        <v>395</v>
      </c>
      <c r="D167" s="638" t="s">
        <v>396</v>
      </c>
      <c r="E167" s="638" t="s">
        <v>342</v>
      </c>
      <c r="F167" s="638" t="s">
        <v>343</v>
      </c>
      <c r="G167" s="642">
        <v>2</v>
      </c>
      <c r="H167" s="643">
        <v>73.135000000000005</v>
      </c>
      <c r="I167" s="644">
        <f t="shared" si="8"/>
        <v>146.27000000000001</v>
      </c>
      <c r="J167" s="644"/>
      <c r="K167" s="645">
        <f t="shared" si="9"/>
        <v>-146.27000000000001</v>
      </c>
      <c r="N167" s="347" t="s">
        <v>353</v>
      </c>
    </row>
    <row r="168" spans="2:15" ht="13" customHeight="1">
      <c r="B168" s="631" t="s">
        <v>413</v>
      </c>
      <c r="C168" s="631" t="s">
        <v>400</v>
      </c>
      <c r="D168" s="631" t="s">
        <v>401</v>
      </c>
      <c r="E168" s="631" t="s">
        <v>342</v>
      </c>
      <c r="F168" s="631" t="s">
        <v>343</v>
      </c>
      <c r="G168" s="646">
        <v>1</v>
      </c>
      <c r="H168" s="647">
        <v>31.93</v>
      </c>
      <c r="I168" s="648">
        <f t="shared" si="8"/>
        <v>31.93</v>
      </c>
      <c r="J168" s="648"/>
      <c r="K168" s="649">
        <f t="shared" si="9"/>
        <v>-31.93</v>
      </c>
    </row>
    <row r="169" spans="2:15" ht="13" customHeight="1">
      <c r="B169" s="631" t="s">
        <v>413</v>
      </c>
      <c r="C169" s="631" t="s">
        <v>356</v>
      </c>
      <c r="D169" s="631" t="s">
        <v>357</v>
      </c>
      <c r="E169" s="631" t="s">
        <v>358</v>
      </c>
      <c r="F169" s="631" t="s">
        <v>359</v>
      </c>
      <c r="G169" s="646">
        <v>2</v>
      </c>
      <c r="H169" s="647">
        <v>43.954999999999998</v>
      </c>
      <c r="I169" s="648">
        <f t="shared" si="8"/>
        <v>87.91</v>
      </c>
      <c r="J169" s="648"/>
      <c r="K169" s="649">
        <f t="shared" si="9"/>
        <v>-87.91</v>
      </c>
    </row>
    <row r="170" spans="2:15" ht="13" customHeight="1">
      <c r="B170" s="631" t="s">
        <v>414</v>
      </c>
      <c r="C170" s="631" t="s">
        <v>400</v>
      </c>
      <c r="D170" s="631" t="s">
        <v>401</v>
      </c>
      <c r="E170" s="631" t="s">
        <v>342</v>
      </c>
      <c r="F170" s="631" t="s">
        <v>343</v>
      </c>
      <c r="G170" s="646">
        <v>3</v>
      </c>
      <c r="H170" s="647">
        <v>30.15</v>
      </c>
      <c r="I170" s="648">
        <f t="shared" si="8"/>
        <v>90.449999999999989</v>
      </c>
      <c r="J170" s="648"/>
      <c r="K170" s="649">
        <f t="shared" si="9"/>
        <v>-90.449999999999989</v>
      </c>
    </row>
    <row r="171" spans="2:15" ht="13" customHeight="1">
      <c r="B171" s="631" t="s">
        <v>414</v>
      </c>
      <c r="C171" s="631" t="s">
        <v>395</v>
      </c>
      <c r="D171" s="631" t="s">
        <v>396</v>
      </c>
      <c r="E171" s="631" t="s">
        <v>342</v>
      </c>
      <c r="F171" s="631" t="s">
        <v>343</v>
      </c>
      <c r="G171" s="646">
        <v>1</v>
      </c>
      <c r="H171" s="647">
        <v>72.739999999999995</v>
      </c>
      <c r="I171" s="648">
        <f t="shared" si="8"/>
        <v>72.739999999999995</v>
      </c>
      <c r="J171" s="648"/>
      <c r="K171" s="649">
        <f t="shared" si="9"/>
        <v>-72.739999999999995</v>
      </c>
    </row>
    <row r="172" spans="2:15" ht="13" customHeight="1">
      <c r="B172" s="631" t="s">
        <v>414</v>
      </c>
      <c r="C172" s="631" t="s">
        <v>356</v>
      </c>
      <c r="D172" s="631" t="s">
        <v>357</v>
      </c>
      <c r="E172" s="631" t="s">
        <v>358</v>
      </c>
      <c r="F172" s="631" t="s">
        <v>359</v>
      </c>
      <c r="G172" s="646">
        <v>3</v>
      </c>
      <c r="H172" s="647">
        <v>41.085000000000001</v>
      </c>
      <c r="I172" s="648">
        <f t="shared" si="8"/>
        <v>123.255</v>
      </c>
      <c r="J172" s="648"/>
      <c r="K172" s="649">
        <f t="shared" si="9"/>
        <v>-123.255</v>
      </c>
    </row>
    <row r="173" spans="2:15" ht="13" customHeight="1">
      <c r="B173" s="631" t="s">
        <v>415</v>
      </c>
      <c r="C173" s="631" t="s">
        <v>395</v>
      </c>
      <c r="D173" s="631" t="s">
        <v>396</v>
      </c>
      <c r="E173" s="631" t="s">
        <v>342</v>
      </c>
      <c r="F173" s="631" t="s">
        <v>343</v>
      </c>
      <c r="G173" s="646">
        <v>2</v>
      </c>
      <c r="H173" s="647">
        <v>68.084999999999994</v>
      </c>
      <c r="I173" s="648">
        <f t="shared" si="8"/>
        <v>136.16999999999999</v>
      </c>
      <c r="J173" s="648"/>
      <c r="K173" s="649">
        <f t="shared" si="9"/>
        <v>-136.16999999999999</v>
      </c>
    </row>
    <row r="174" spans="2:15" ht="13" customHeight="1">
      <c r="B174" s="631" t="s">
        <v>415</v>
      </c>
      <c r="C174" s="631" t="s">
        <v>400</v>
      </c>
      <c r="D174" s="631" t="s">
        <v>401</v>
      </c>
      <c r="E174" s="631" t="s">
        <v>342</v>
      </c>
      <c r="F174" s="631" t="s">
        <v>343</v>
      </c>
      <c r="G174" s="646">
        <v>2</v>
      </c>
      <c r="H174" s="647">
        <v>30.65</v>
      </c>
      <c r="I174" s="648">
        <f t="shared" si="8"/>
        <v>61.3</v>
      </c>
      <c r="J174" s="648"/>
      <c r="K174" s="649">
        <f t="shared" si="9"/>
        <v>-61.3</v>
      </c>
    </row>
    <row r="175" spans="2:15" ht="13" customHeight="1">
      <c r="B175" s="631" t="s">
        <v>415</v>
      </c>
      <c r="C175" s="631" t="s">
        <v>356</v>
      </c>
      <c r="D175" s="631" t="s">
        <v>357</v>
      </c>
      <c r="E175" s="631" t="s">
        <v>358</v>
      </c>
      <c r="F175" s="631" t="s">
        <v>359</v>
      </c>
      <c r="G175" s="646">
        <v>2</v>
      </c>
      <c r="H175" s="647">
        <v>37.89</v>
      </c>
      <c r="I175" s="648">
        <f t="shared" si="8"/>
        <v>75.78</v>
      </c>
      <c r="J175" s="648"/>
      <c r="K175" s="649">
        <f t="shared" si="9"/>
        <v>-75.78</v>
      </c>
    </row>
    <row r="176" spans="2:15" ht="13" customHeight="1">
      <c r="B176" s="631" t="s">
        <v>416</v>
      </c>
      <c r="C176" s="631" t="s">
        <v>395</v>
      </c>
      <c r="D176" s="631" t="s">
        <v>396</v>
      </c>
      <c r="E176" s="631" t="s">
        <v>342</v>
      </c>
      <c r="F176" s="631" t="s">
        <v>343</v>
      </c>
      <c r="G176" s="646">
        <v>7</v>
      </c>
      <c r="H176" s="647">
        <v>72.805000000000007</v>
      </c>
      <c r="I176" s="648">
        <f t="shared" si="8"/>
        <v>509.63500000000005</v>
      </c>
      <c r="J176" s="648"/>
      <c r="K176" s="649">
        <f t="shared" si="9"/>
        <v>-509.63500000000005</v>
      </c>
    </row>
    <row r="177" spans="2:14" ht="16" customHeight="1">
      <c r="B177" s="631" t="s">
        <v>416</v>
      </c>
      <c r="C177" s="631" t="s">
        <v>400</v>
      </c>
      <c r="D177" s="631" t="s">
        <v>401</v>
      </c>
      <c r="E177" s="631" t="s">
        <v>342</v>
      </c>
      <c r="F177" s="631" t="s">
        <v>343</v>
      </c>
      <c r="G177" s="646">
        <v>10</v>
      </c>
      <c r="H177" s="647">
        <v>33.265000000000001</v>
      </c>
      <c r="I177" s="648">
        <f t="shared" si="8"/>
        <v>332.65</v>
      </c>
      <c r="J177" s="648"/>
      <c r="K177" s="649">
        <f t="shared" si="9"/>
        <v>-332.65</v>
      </c>
      <c r="L177" s="777">
        <v>2022</v>
      </c>
      <c r="M177" t="s">
        <v>417</v>
      </c>
    </row>
    <row r="178" spans="2:14" ht="14" customHeight="1" thickBot="1">
      <c r="B178" s="631" t="s">
        <v>416</v>
      </c>
      <c r="C178" s="631" t="s">
        <v>356</v>
      </c>
      <c r="D178" s="631" t="s">
        <v>357</v>
      </c>
      <c r="E178" s="631" t="s">
        <v>358</v>
      </c>
      <c r="F178" s="631" t="s">
        <v>359</v>
      </c>
      <c r="G178" s="646">
        <v>3</v>
      </c>
      <c r="H178" s="647">
        <v>40.94</v>
      </c>
      <c r="I178" s="648">
        <f t="shared" si="8"/>
        <v>122.82</v>
      </c>
      <c r="J178" s="648"/>
      <c r="K178" s="649">
        <f t="shared" si="9"/>
        <v>-122.82</v>
      </c>
      <c r="L178" s="532">
        <f>SUM(K167:K178)</f>
        <v>-1790.91</v>
      </c>
      <c r="M178" s="532">
        <f>SUM(I167:I179)</f>
        <v>1790.91</v>
      </c>
    </row>
    <row r="179" spans="2:14" ht="14" customHeight="1" thickBot="1">
      <c r="B179" s="631"/>
      <c r="C179" s="631"/>
      <c r="D179" s="631"/>
      <c r="E179" s="631"/>
      <c r="F179" s="631"/>
      <c r="G179" s="646"/>
      <c r="H179" s="654"/>
      <c r="I179" s="655"/>
      <c r="J179" s="655"/>
      <c r="K179" s="655"/>
      <c r="L179" s="616" t="s">
        <v>351</v>
      </c>
      <c r="M179" s="616" t="s">
        <v>352</v>
      </c>
      <c r="N179" s="640">
        <f>-L178-M178</f>
        <v>0</v>
      </c>
    </row>
    <row r="180" spans="2:14" ht="13" customHeight="1">
      <c r="B180" s="632"/>
      <c r="C180" s="632"/>
      <c r="D180" s="632"/>
      <c r="E180" s="632"/>
      <c r="F180" s="632"/>
      <c r="G180" s="656"/>
      <c r="H180" s="632"/>
      <c r="I180" s="632"/>
      <c r="J180" s="632"/>
      <c r="K180" s="632"/>
      <c r="N180" t="s">
        <v>418</v>
      </c>
    </row>
    <row r="181" spans="2:14" ht="16" customHeight="1">
      <c r="F181" s="596" t="s">
        <v>419</v>
      </c>
      <c r="G181" s="636">
        <f>SUM(G5:G180)</f>
        <v>705</v>
      </c>
      <c r="H181" s="657"/>
      <c r="I181" s="624">
        <f>SUM(I5:I180)</f>
        <v>19993.538</v>
      </c>
      <c r="J181" s="639">
        <f>SUM(J5:J180)</f>
        <v>-851.83999999999935</v>
      </c>
      <c r="K181" s="635">
        <f>SUM(K5:K180)</f>
        <v>-20845.37799999999</v>
      </c>
    </row>
    <row r="182" spans="2:14" ht="12.75" customHeight="1">
      <c r="H182" s="596" t="s">
        <v>420</v>
      </c>
      <c r="I182" s="74" t="s">
        <v>352</v>
      </c>
      <c r="J182" s="658" t="s">
        <v>421</v>
      </c>
      <c r="K182" s="74" t="s">
        <v>67</v>
      </c>
    </row>
    <row r="186" spans="2:14" ht="12.75" customHeight="1">
      <c r="B186" s="662"/>
    </row>
    <row r="187" spans="2:14" ht="12.75" customHeight="1">
      <c r="B187" s="662"/>
    </row>
    <row r="188" spans="2:14" ht="12.75" customHeight="1">
      <c r="B188" s="662"/>
    </row>
    <row r="189" spans="2:14" ht="12.75" customHeight="1">
      <c r="B189" s="662"/>
    </row>
    <row r="190" spans="2:14" ht="12.75" customHeight="1">
      <c r="B190" s="662"/>
    </row>
    <row r="191" spans="2:14" ht="12.75" customHeight="1">
      <c r="B191" s="662"/>
    </row>
    <row r="192" spans="2:14" ht="12.75" customHeight="1">
      <c r="B192" s="662"/>
    </row>
    <row r="193" spans="2:2" ht="12.75" customHeight="1">
      <c r="B193" s="662"/>
    </row>
  </sheetData>
  <autoFilter ref="B4:K4" xr:uid="{00000000-0009-0000-0000-000006000000}"/>
  <conditionalFormatting sqref="C5:C180">
    <cfRule type="containsText" dxfId="31" priority="4" operator="containsText" text="WOR">
      <formula>NOT(ISERROR(SEARCH("WOR",C5)))</formula>
    </cfRule>
    <cfRule type="containsText" dxfId="30" priority="5" operator="containsText" text="STOXX">
      <formula>NOT(ISERROR(SEARCH("STOXX",C5)))</formula>
    </cfRule>
    <cfRule type="containsText" dxfId="29" priority="6" operator="containsText" text="INVESCO">
      <formula>NOT(ISERROR(SEARCH("INVESCO",C5)))</formula>
    </cfRule>
    <cfRule type="containsText" dxfId="28" priority="7" operator="containsText" text="SHARES">
      <formula>NOT(ISERROR(SEARCH("SHARES",C5)))</formula>
    </cfRule>
  </conditionalFormatting>
  <conditionalFormatting sqref="G5:G179">
    <cfRule type="cellIs" dxfId="27" priority="2" operator="greaterThanOrEqual">
      <formula>5</formula>
    </cfRule>
  </conditionalFormatting>
  <conditionalFormatting sqref="G5:G180">
    <cfRule type="cellIs" dxfId="26" priority="1" operator="greaterThanOrEqual">
      <formula>10</formula>
    </cfRule>
  </conditionalFormatting>
  <conditionalFormatting sqref="K5:K180">
    <cfRule type="cellIs" dxfId="25" priority="182" operator="greaterThan">
      <formula>50</formula>
    </cfRule>
    <cfRule type="cellIs" dxfId="24" priority="183" operator="greaterThan">
      <formula>100</formula>
    </cfRule>
    <cfRule type="top10" dxfId="23" priority="184" bottom="1" rank="1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BG113"/>
  <sheetViews>
    <sheetView showGridLines="0" tabSelected="1" zoomScaleNormal="100" workbookViewId="0">
      <selection activeCell="Q12" sqref="Q12"/>
    </sheetView>
  </sheetViews>
  <sheetFormatPr baseColWidth="10" defaultColWidth="5.33203125" defaultRowHeight="13"/>
  <cols>
    <col min="3" max="3" width="17.33203125" bestFit="1" customWidth="1"/>
    <col min="4" max="4" width="8.33203125" customWidth="1"/>
    <col min="5" max="5" width="8.5" bestFit="1" customWidth="1"/>
    <col min="6" max="6" width="9.1640625" bestFit="1" customWidth="1"/>
    <col min="7" max="7" width="7" bestFit="1" customWidth="1"/>
    <col min="8" max="8" width="9.1640625" bestFit="1" customWidth="1"/>
    <col min="9" max="9" width="8.33203125" customWidth="1"/>
    <col min="10" max="10" width="9.1640625" bestFit="1" customWidth="1"/>
    <col min="11" max="11" width="7" bestFit="1" customWidth="1"/>
    <col min="12" max="12" width="3.6640625" customWidth="1"/>
    <col min="13" max="13" width="5" bestFit="1" customWidth="1"/>
    <col min="14" max="14" width="3.1640625" bestFit="1" customWidth="1"/>
    <col min="15" max="15" width="4" customWidth="1"/>
    <col min="16" max="16" width="13.83203125" customWidth="1"/>
    <col min="17" max="17" width="28.83203125" bestFit="1" customWidth="1"/>
    <col min="18" max="18" width="15.5" bestFit="1" customWidth="1"/>
    <col min="19" max="19" width="9.33203125" bestFit="1" customWidth="1"/>
    <col min="20" max="20" width="10.1640625" customWidth="1"/>
    <col min="21" max="21" width="14.5" bestFit="1" customWidth="1"/>
    <col min="22" max="22" width="4.83203125" bestFit="1" customWidth="1"/>
    <col min="23" max="23" width="12.5" bestFit="1" customWidth="1"/>
    <col min="24" max="24" width="11" bestFit="1" customWidth="1"/>
    <col min="25" max="25" width="7.83203125" bestFit="1" customWidth="1"/>
    <col min="26" max="26" width="2.1640625" bestFit="1" customWidth="1"/>
    <col min="27" max="27" width="11" bestFit="1" customWidth="1"/>
    <col min="28" max="28" width="7.83203125" customWidth="1"/>
    <col min="30" max="30" width="22" customWidth="1"/>
    <col min="31" max="31" width="5.5" bestFit="1" customWidth="1"/>
    <col min="34" max="37" width="5.5" bestFit="1" customWidth="1"/>
    <col min="39" max="42" width="5.5" bestFit="1" customWidth="1"/>
  </cols>
  <sheetData>
    <row r="2" spans="3:59" s="96" customFormat="1" ht="18" customHeight="1">
      <c r="L2" s="97"/>
      <c r="AC2" s="97"/>
      <c r="AO2" s="97"/>
      <c r="AX2" s="97"/>
      <c r="BG2" s="97"/>
    </row>
    <row r="3" spans="3:59" ht="18" customHeight="1">
      <c r="C3" s="595" t="s">
        <v>422</v>
      </c>
    </row>
    <row r="4" spans="3:59" ht="18" customHeight="1">
      <c r="C4" s="595" t="s">
        <v>423</v>
      </c>
    </row>
    <row r="7" spans="3:59" ht="14" customHeight="1"/>
    <row r="8" spans="3:59" ht="51.75" customHeight="1">
      <c r="C8" s="871" t="s">
        <v>424</v>
      </c>
      <c r="L8" s="533"/>
      <c r="P8" s="948" t="s">
        <v>425</v>
      </c>
      <c r="Q8" s="949" t="s">
        <v>426</v>
      </c>
      <c r="R8" s="523"/>
      <c r="S8" s="948" t="s">
        <v>427</v>
      </c>
      <c r="T8" s="950" t="s">
        <v>428</v>
      </c>
      <c r="U8" s="951" t="s">
        <v>93</v>
      </c>
      <c r="V8" s="551" t="s">
        <v>429</v>
      </c>
      <c r="W8" s="525" t="s">
        <v>430</v>
      </c>
      <c r="X8" t="s">
        <v>430</v>
      </c>
      <c r="AB8" s="867" t="s">
        <v>431</v>
      </c>
    </row>
    <row r="9" spans="3:59" ht="14" customHeight="1">
      <c r="C9" s="383"/>
      <c r="O9" s="394" t="s">
        <v>432</v>
      </c>
      <c r="T9" s="254"/>
      <c r="AC9" s="616"/>
      <c r="AD9" s="616"/>
      <c r="AE9" s="773" t="s">
        <v>433</v>
      </c>
      <c r="AF9" s="774" t="s">
        <v>434</v>
      </c>
      <c r="AG9" s="773" t="s">
        <v>435</v>
      </c>
      <c r="AH9" s="774" t="s">
        <v>436</v>
      </c>
      <c r="AI9" s="773" t="s">
        <v>437</v>
      </c>
      <c r="AJ9" s="774" t="s">
        <v>438</v>
      </c>
      <c r="AK9" s="773" t="s">
        <v>439</v>
      </c>
      <c r="AL9" s="774" t="s">
        <v>440</v>
      </c>
      <c r="AM9" s="773" t="s">
        <v>441</v>
      </c>
      <c r="AN9" s="774" t="s">
        <v>442</v>
      </c>
      <c r="AO9" s="773" t="s">
        <v>443</v>
      </c>
      <c r="AP9" s="774" t="s">
        <v>444</v>
      </c>
    </row>
    <row r="10" spans="3:59" ht="16" customHeight="1">
      <c r="C10" s="474" t="s">
        <v>445</v>
      </c>
      <c r="D10" s="255" t="s">
        <v>446</v>
      </c>
      <c r="E10" s="255"/>
      <c r="F10" s="255"/>
      <c r="G10" s="255"/>
      <c r="H10" s="255"/>
      <c r="J10" s="255" t="s">
        <v>447</v>
      </c>
      <c r="K10" s="255" t="s">
        <v>430</v>
      </c>
      <c r="M10" s="596" t="s">
        <v>448</v>
      </c>
      <c r="N10">
        <v>1</v>
      </c>
      <c r="P10" s="347" t="s">
        <v>449</v>
      </c>
      <c r="Q10" s="668" t="s">
        <v>450</v>
      </c>
      <c r="S10" s="519">
        <v>63</v>
      </c>
      <c r="T10" s="518">
        <v>120</v>
      </c>
      <c r="U10" s="526">
        <f t="shared" ref="U10:U16" si="0">S10*T10</f>
        <v>7560</v>
      </c>
      <c r="V10" s="622" t="s">
        <v>451</v>
      </c>
      <c r="W10" s="743" t="e" vm="1">
        <f t="shared" ref="W10:W16" si="1">U10/$R$45</f>
        <v>#VALUE!</v>
      </c>
      <c r="AC10" s="766" t="s">
        <v>452</v>
      </c>
      <c r="AD10" s="771" t="e">
        <v>#VALUE!</v>
      </c>
      <c r="AE10" s="688" t="s">
        <v>453</v>
      </c>
      <c r="AF10" s="772" t="s">
        <v>453</v>
      </c>
      <c r="AG10" s="688" t="s">
        <v>454</v>
      </c>
      <c r="AH10" s="772"/>
      <c r="AI10" s="688"/>
      <c r="AJ10" s="772" t="s">
        <v>454</v>
      </c>
      <c r="AK10" s="688"/>
      <c r="AL10" s="772"/>
      <c r="AM10" s="688" t="s">
        <v>454</v>
      </c>
      <c r="AN10" s="772"/>
      <c r="AO10" s="688"/>
      <c r="AP10" s="772" t="s">
        <v>454</v>
      </c>
    </row>
    <row r="11" spans="3:59" ht="17" customHeight="1">
      <c r="C11" s="475" t="s">
        <v>455</v>
      </c>
      <c r="D11" s="476" t="s">
        <v>456</v>
      </c>
      <c r="E11" s="477"/>
      <c r="F11" s="477"/>
      <c r="G11" s="477"/>
      <c r="H11" s="477"/>
      <c r="I11" s="477"/>
      <c r="J11" s="478" t="s">
        <v>457</v>
      </c>
      <c r="K11" s="511" t="s">
        <v>458</v>
      </c>
      <c r="M11" s="596" t="s">
        <v>448</v>
      </c>
      <c r="N11">
        <v>2</v>
      </c>
      <c r="P11" s="347" t="s">
        <v>459</v>
      </c>
      <c r="Q11" s="617" t="s">
        <v>460</v>
      </c>
      <c r="S11" s="519">
        <v>607.4</v>
      </c>
      <c r="T11" s="518">
        <v>33</v>
      </c>
      <c r="U11" s="526">
        <f t="shared" si="0"/>
        <v>20044.2</v>
      </c>
      <c r="V11" s="622" t="s">
        <v>451</v>
      </c>
      <c r="W11" s="743" t="e" vm="1">
        <f t="shared" si="1"/>
        <v>#VALUE!</v>
      </c>
      <c r="AC11" s="766" t="s">
        <v>461</v>
      </c>
      <c r="AD11" s="766" t="e">
        <v>#VALUE!</v>
      </c>
      <c r="AE11" s="688" t="s">
        <v>453</v>
      </c>
      <c r="AF11" s="772"/>
      <c r="AG11" s="688"/>
      <c r="AH11" s="772"/>
      <c r="AI11" s="688">
        <v>0.16500000000000001</v>
      </c>
      <c r="AJ11" s="772"/>
      <c r="AK11" s="688"/>
      <c r="AL11" s="772"/>
      <c r="AM11" s="688"/>
      <c r="AN11" s="772"/>
      <c r="AO11" s="688">
        <v>0.16600000000000001</v>
      </c>
      <c r="AP11" s="772"/>
    </row>
    <row r="12" spans="3:59" ht="17" customHeight="1">
      <c r="C12" s="479" t="s">
        <v>455</v>
      </c>
      <c r="D12" s="480" t="s">
        <v>462</v>
      </c>
      <c r="E12" s="481"/>
      <c r="F12" s="481"/>
      <c r="G12" s="481"/>
      <c r="H12" s="481"/>
      <c r="I12" s="481"/>
      <c r="J12" s="482" t="s">
        <v>457</v>
      </c>
      <c r="K12" s="505" t="s">
        <v>463</v>
      </c>
      <c r="M12" s="596" t="s">
        <v>448</v>
      </c>
      <c r="N12">
        <v>3</v>
      </c>
      <c r="P12" s="347" t="s">
        <v>464</v>
      </c>
      <c r="Q12" s="617" t="e">
        <v>#VALUE!</v>
      </c>
      <c r="S12" s="519">
        <v>7.3</v>
      </c>
      <c r="T12" s="518">
        <v>973.8</v>
      </c>
      <c r="U12" s="526">
        <f t="shared" si="0"/>
        <v>7108.74</v>
      </c>
      <c r="V12" s="622" t="s">
        <v>451</v>
      </c>
      <c r="W12" s="743" t="e" vm="1">
        <f t="shared" si="1"/>
        <v>#VALUE!</v>
      </c>
      <c r="AC12" s="766" t="s">
        <v>465</v>
      </c>
      <c r="AD12" s="766" t="e">
        <v>#VALUE!</v>
      </c>
      <c r="AE12" s="688" t="s">
        <v>453</v>
      </c>
      <c r="AF12" s="772"/>
      <c r="AG12" s="775" t="s">
        <v>454</v>
      </c>
      <c r="AH12" s="772"/>
      <c r="AI12" s="688"/>
      <c r="AJ12" s="772" t="s">
        <v>454</v>
      </c>
      <c r="AK12" s="688"/>
      <c r="AL12" s="772"/>
      <c r="AM12" s="688" t="s">
        <v>454</v>
      </c>
      <c r="AN12" s="772"/>
      <c r="AO12" s="688"/>
      <c r="AP12" s="772" t="s">
        <v>454</v>
      </c>
    </row>
    <row r="13" spans="3:59" ht="17" customHeight="1">
      <c r="C13" s="479" t="s">
        <v>455</v>
      </c>
      <c r="D13" s="480" t="s">
        <v>466</v>
      </c>
      <c r="E13" s="481"/>
      <c r="F13" s="481"/>
      <c r="G13" s="481"/>
      <c r="H13" s="481"/>
      <c r="I13" s="481"/>
      <c r="J13" s="483" t="s">
        <v>467</v>
      </c>
      <c r="K13" s="505" t="s">
        <v>468</v>
      </c>
      <c r="M13" s="596" t="e" vm="2">
        <f t="array" ref="M13">_FV(Q13,"Currency",TRUE)</f>
        <v>#VALUE!</v>
      </c>
      <c r="N13">
        <v>4</v>
      </c>
      <c r="P13" s="347" t="s">
        <v>452</v>
      </c>
      <c r="Q13" s="529" t="e">
        <v>#VALUE!</v>
      </c>
      <c r="S13" s="519">
        <v>55</v>
      </c>
      <c r="T13" s="518" t="e" vm="3">
        <f t="array" ref="T13">_FV(Q13,"Price")</f>
        <v>#VALUE!</v>
      </c>
      <c r="U13" s="526" t="e" vm="1">
        <f t="shared" si="0"/>
        <v>#VALUE!</v>
      </c>
      <c r="V13" s="527" t="s">
        <v>469</v>
      </c>
      <c r="W13" s="743" t="e" vm="1">
        <f t="shared" si="1"/>
        <v>#VALUE!</v>
      </c>
      <c r="AC13" s="767" t="s">
        <v>470</v>
      </c>
      <c r="AD13" s="766" t="e">
        <v>#VALUE!</v>
      </c>
      <c r="AE13" s="688" t="s">
        <v>453</v>
      </c>
      <c r="AF13" s="772"/>
      <c r="AG13" s="688">
        <v>0.14000000000000001</v>
      </c>
      <c r="AH13" s="772"/>
      <c r="AI13" s="688"/>
      <c r="AJ13" s="772">
        <v>0.14000000000000001</v>
      </c>
      <c r="AK13" s="688"/>
      <c r="AL13" s="772"/>
      <c r="AM13" s="688">
        <v>0.14000000000000001</v>
      </c>
      <c r="AN13" s="772"/>
      <c r="AO13" s="688"/>
      <c r="AP13" s="772">
        <v>0.14000000000000001</v>
      </c>
    </row>
    <row r="14" spans="3:59" ht="17" customHeight="1">
      <c r="C14" s="479" t="s">
        <v>455</v>
      </c>
      <c r="D14" s="480" t="s">
        <v>471</v>
      </c>
      <c r="E14" s="481"/>
      <c r="F14" s="481"/>
      <c r="G14" s="481"/>
      <c r="H14" s="481"/>
      <c r="I14" s="481"/>
      <c r="J14" s="483" t="s">
        <v>472</v>
      </c>
      <c r="K14" s="505" t="s">
        <v>468</v>
      </c>
      <c r="M14" s="596" t="e" vm="2">
        <f t="array" ref="M14">_FV(Q14,"Currency",TRUE)</f>
        <v>#VALUE!</v>
      </c>
      <c r="N14">
        <v>5</v>
      </c>
      <c r="P14" s="347" t="s">
        <v>461</v>
      </c>
      <c r="Q14" s="529" t="e">
        <v>#VALUE!</v>
      </c>
      <c r="S14" s="519">
        <v>60</v>
      </c>
      <c r="T14" s="518" t="e" vm="3">
        <f t="array" ref="T14">_FV(Q14,"Price")</f>
        <v>#VALUE!</v>
      </c>
      <c r="U14" s="526" t="e" vm="1">
        <f t="shared" si="0"/>
        <v>#VALUE!</v>
      </c>
      <c r="V14" s="527" t="s">
        <v>469</v>
      </c>
      <c r="W14" s="743" t="e" vm="1">
        <f t="shared" si="1"/>
        <v>#VALUE!</v>
      </c>
      <c r="AC14" s="529" t="e" vm="4">
        <f t="array" ref="AC14">_FV(AD14,"Ticker symbol",TRUE)</f>
        <v>#VALUE!</v>
      </c>
      <c r="AD14" s="617" t="e">
        <v>#VALUE!</v>
      </c>
      <c r="AE14" s="688"/>
      <c r="AF14" s="772"/>
      <c r="AG14" s="688"/>
      <c r="AH14" s="772"/>
      <c r="AI14" s="688"/>
      <c r="AJ14" s="772">
        <v>0.27</v>
      </c>
      <c r="AK14" s="688"/>
      <c r="AL14" s="772"/>
      <c r="AM14" s="688"/>
      <c r="AN14" s="772"/>
      <c r="AO14" s="688"/>
      <c r="AP14" s="772">
        <v>0.06</v>
      </c>
    </row>
    <row r="15" spans="3:59" ht="17" customHeight="1">
      <c r="C15" s="479" t="s">
        <v>455</v>
      </c>
      <c r="D15" s="480" t="s">
        <v>473</v>
      </c>
      <c r="E15" s="481"/>
      <c r="F15" s="481"/>
      <c r="G15" s="481"/>
      <c r="H15" s="481"/>
      <c r="I15" s="481"/>
      <c r="J15" s="483" t="s">
        <v>474</v>
      </c>
      <c r="K15" s="505" t="s">
        <v>475</v>
      </c>
      <c r="L15" s="406"/>
      <c r="M15" s="596" t="e" vm="2">
        <f t="array" ref="M15">_FV(Q15,"Currency",TRUE)</f>
        <v>#VALUE!</v>
      </c>
      <c r="N15">
        <v>6</v>
      </c>
      <c r="P15" s="347" t="s">
        <v>470</v>
      </c>
      <c r="Q15" s="529" t="e">
        <v>#VALUE!</v>
      </c>
      <c r="S15" s="519">
        <v>25</v>
      </c>
      <c r="T15" s="518" t="e" vm="3">
        <f t="array" ref="T15">_FV(Q15,"Price")</f>
        <v>#VALUE!</v>
      </c>
      <c r="U15" s="526" t="e" vm="1">
        <f t="shared" si="0"/>
        <v>#VALUE!</v>
      </c>
      <c r="V15" s="527" t="s">
        <v>469</v>
      </c>
      <c r="W15" s="743" t="e" vm="1">
        <f t="shared" si="1"/>
        <v>#VALUE!</v>
      </c>
      <c r="AC15" s="529" t="e" vm="4">
        <f t="array" ref="AC15">_FV(AD15,"Ticker symbol",TRUE)</f>
        <v>#VALUE!</v>
      </c>
      <c r="AD15" s="617" t="e">
        <v>#VALUE!</v>
      </c>
      <c r="AE15" s="688" t="s">
        <v>453</v>
      </c>
      <c r="AF15" s="772">
        <v>0.4</v>
      </c>
      <c r="AG15" s="688"/>
      <c r="AH15" s="772"/>
      <c r="AI15" s="688"/>
      <c r="AJ15" s="772"/>
      <c r="AK15" s="688"/>
      <c r="AL15" s="772">
        <v>0.8</v>
      </c>
      <c r="AM15" s="688"/>
      <c r="AN15" s="772"/>
      <c r="AO15" s="688"/>
      <c r="AP15" s="772"/>
    </row>
    <row r="16" spans="3:59" ht="17" customHeight="1">
      <c r="C16" s="479" t="s">
        <v>455</v>
      </c>
      <c r="D16" s="480" t="s">
        <v>476</v>
      </c>
      <c r="E16" s="481"/>
      <c r="F16" s="481"/>
      <c r="G16" s="481"/>
      <c r="H16" s="481"/>
      <c r="I16" s="481"/>
      <c r="J16" s="482" t="s">
        <v>457</v>
      </c>
      <c r="K16" s="505" t="s">
        <v>477</v>
      </c>
      <c r="L16" s="406"/>
      <c r="M16" s="596" t="e" vm="2">
        <f t="array" ref="M16">_FV(Q16,"Currency",TRUE)</f>
        <v>#VALUE!</v>
      </c>
      <c r="N16">
        <v>7</v>
      </c>
      <c r="P16" s="347" t="s">
        <v>465</v>
      </c>
      <c r="Q16" s="529" t="e">
        <v>#VALUE!</v>
      </c>
      <c r="S16" s="519">
        <v>35</v>
      </c>
      <c r="T16" s="518" t="e" vm="3">
        <f t="array" ref="T16">_FV(Q16,"Price")</f>
        <v>#VALUE!</v>
      </c>
      <c r="U16" s="526" t="e" vm="1">
        <f t="shared" si="0"/>
        <v>#VALUE!</v>
      </c>
      <c r="V16" s="527" t="s">
        <v>469</v>
      </c>
      <c r="W16" s="743" t="e" vm="1">
        <f t="shared" si="1"/>
        <v>#VALUE!</v>
      </c>
      <c r="AC16" s="529" t="e" vm="4">
        <f t="array" ref="AC16">_FV(AD16,"Ticker symbol",TRUE)</f>
        <v>#VALUE!</v>
      </c>
      <c r="AD16" s="617" t="e">
        <v>#VALUE!</v>
      </c>
      <c r="AE16" s="688"/>
      <c r="AF16" s="772"/>
      <c r="AG16" s="688"/>
      <c r="AH16" s="772"/>
      <c r="AI16" s="688"/>
      <c r="AJ16" s="772"/>
      <c r="AK16" s="688">
        <v>0.7</v>
      </c>
      <c r="AL16" s="772"/>
      <c r="AM16" s="688"/>
      <c r="AN16" s="772"/>
      <c r="AO16" s="688"/>
      <c r="AP16" s="772">
        <v>1</v>
      </c>
    </row>
    <row r="17" spans="3:42" ht="17" customHeight="1">
      <c r="C17" s="479" t="s">
        <v>455</v>
      </c>
      <c r="D17" s="480" t="s">
        <v>478</v>
      </c>
      <c r="E17" s="481"/>
      <c r="F17" s="481"/>
      <c r="G17" s="481"/>
      <c r="H17" s="481"/>
      <c r="I17" s="481"/>
      <c r="J17" s="483" t="s">
        <v>479</v>
      </c>
      <c r="K17" s="505" t="s">
        <v>480</v>
      </c>
      <c r="M17" s="596"/>
      <c r="P17" s="347"/>
      <c r="Q17" s="529"/>
      <c r="S17" s="519"/>
      <c r="T17" s="518"/>
      <c r="U17" s="526"/>
      <c r="V17" s="527"/>
      <c r="W17" s="743"/>
      <c r="AC17" s="529" t="e" vm="4">
        <f t="array" ref="AC17">_FV(AD17,"Ticker symbol",TRUE)</f>
        <v>#VALUE!</v>
      </c>
      <c r="AD17" s="617" t="e">
        <v>#VALUE!</v>
      </c>
      <c r="AE17" s="688"/>
      <c r="AF17" s="772"/>
      <c r="AG17" s="688"/>
      <c r="AH17" s="772"/>
      <c r="AI17" s="688"/>
      <c r="AJ17" s="772"/>
      <c r="AK17" s="688"/>
      <c r="AL17" s="772"/>
      <c r="AM17" s="688"/>
      <c r="AN17" s="772"/>
      <c r="AO17" s="688"/>
      <c r="AP17" s="772"/>
    </row>
    <row r="18" spans="3:42" ht="17" customHeight="1" thickBot="1">
      <c r="C18" s="479" t="s">
        <v>455</v>
      </c>
      <c r="D18" s="480" t="s">
        <v>481</v>
      </c>
      <c r="E18" s="481"/>
      <c r="F18" s="481"/>
      <c r="G18" s="481"/>
      <c r="H18" s="481"/>
      <c r="I18" s="481"/>
      <c r="J18" s="483" t="s">
        <v>482</v>
      </c>
      <c r="K18" s="505" t="s">
        <v>483</v>
      </c>
      <c r="M18" s="596"/>
      <c r="T18" s="884" t="s">
        <v>484</v>
      </c>
      <c r="U18" s="868" t="e" vm="1">
        <f>SUM(U10:U17)</f>
        <v>#VALUE!</v>
      </c>
      <c r="W18" s="744"/>
      <c r="X18" s="893" t="e" vm="1">
        <f>U18/$R$45</f>
        <v>#VALUE!</v>
      </c>
      <c r="AC18" s="529" t="e" vm="4">
        <f t="array" ref="AC18">_FV(AD18,"Ticker symbol",TRUE)</f>
        <v>#VALUE!</v>
      </c>
      <c r="AD18" s="758" t="e">
        <v>#VALUE!</v>
      </c>
      <c r="AE18" s="688">
        <v>0.28999999999999998</v>
      </c>
      <c r="AF18" s="772"/>
      <c r="AG18" s="688"/>
      <c r="AH18" s="772"/>
      <c r="AI18" s="688"/>
      <c r="AJ18" s="772"/>
      <c r="AK18" s="688">
        <v>0.28999999999999998</v>
      </c>
      <c r="AL18" s="772"/>
      <c r="AM18" s="688"/>
      <c r="AN18" s="772"/>
      <c r="AO18" s="688"/>
      <c r="AP18" s="772"/>
    </row>
    <row r="19" spans="3:42" ht="17" customHeight="1">
      <c r="C19" s="479" t="s">
        <v>455</v>
      </c>
      <c r="D19" s="480" t="s">
        <v>485</v>
      </c>
      <c r="E19" s="481"/>
      <c r="F19" s="481"/>
      <c r="G19" s="481"/>
      <c r="H19" s="481"/>
      <c r="I19" s="481"/>
      <c r="J19" s="482" t="s">
        <v>457</v>
      </c>
      <c r="K19" s="505" t="s">
        <v>486</v>
      </c>
      <c r="M19" s="596"/>
      <c r="O19" s="394" t="s">
        <v>487</v>
      </c>
      <c r="T19" s="254"/>
      <c r="W19" s="743"/>
      <c r="AC19" s="529" t="e" vm="4">
        <f t="array" ref="AC19">_FV(AD19,"Ticker symbol",TRUE)</f>
        <v>#VALUE!</v>
      </c>
      <c r="AD19" s="617" t="e">
        <v>#VALUE!</v>
      </c>
      <c r="AE19" s="688">
        <v>0.27</v>
      </c>
      <c r="AF19" s="772"/>
      <c r="AG19" s="688"/>
      <c r="AH19" s="772"/>
      <c r="AI19" s="688"/>
      <c r="AJ19" s="772">
        <v>0.72</v>
      </c>
      <c r="AK19" s="688"/>
      <c r="AL19" s="772"/>
      <c r="AM19" s="688"/>
      <c r="AN19" s="772"/>
      <c r="AO19" s="688"/>
      <c r="AP19" s="772"/>
    </row>
    <row r="20" spans="3:42" ht="17" customHeight="1">
      <c r="C20" s="479" t="s">
        <v>455</v>
      </c>
      <c r="D20" s="480" t="s">
        <v>488</v>
      </c>
      <c r="E20" s="481"/>
      <c r="F20" s="481"/>
      <c r="G20" s="481"/>
      <c r="H20" s="481"/>
      <c r="I20" s="481"/>
      <c r="J20" s="482" t="s">
        <v>457</v>
      </c>
      <c r="K20" s="505" t="s">
        <v>489</v>
      </c>
      <c r="AC20" s="529" t="e" vm="4">
        <f t="array" ref="AC20">_FV(AD20,"Ticker symbol",TRUE)</f>
        <v>#VALUE!</v>
      </c>
      <c r="AD20" s="758" t="e">
        <v>#VALUE!</v>
      </c>
      <c r="AE20" s="688" t="s">
        <v>453</v>
      </c>
      <c r="AF20" s="772">
        <v>0.45</v>
      </c>
      <c r="AG20" s="688"/>
      <c r="AH20" s="772"/>
      <c r="AI20" s="688"/>
      <c r="AJ20" s="772"/>
      <c r="AK20" s="688">
        <v>1.45</v>
      </c>
      <c r="AL20" s="772"/>
      <c r="AM20" s="688"/>
      <c r="AN20" s="772"/>
      <c r="AO20" s="688"/>
      <c r="AP20" s="772"/>
    </row>
    <row r="21" spans="3:42" ht="17" customHeight="1">
      <c r="C21" s="484" t="s">
        <v>490</v>
      </c>
      <c r="D21" s="485" t="s">
        <v>491</v>
      </c>
      <c r="E21" s="486"/>
      <c r="F21" s="486"/>
      <c r="G21" s="486"/>
      <c r="H21" s="486"/>
      <c r="I21" s="486"/>
      <c r="J21" s="487" t="s">
        <v>457</v>
      </c>
      <c r="K21" s="506" t="s">
        <v>492</v>
      </c>
      <c r="M21" s="596" t="e" vm="2">
        <f t="array" ref="M21">_FV(Q21,"Currency",TRUE)</f>
        <v>#VALUE!</v>
      </c>
      <c r="N21">
        <v>1</v>
      </c>
      <c r="P21" s="347" t="e" vm="4">
        <f t="array" ref="P21">_FV(Q21,"Ticker symbol",TRUE)</f>
        <v>#VALUE!</v>
      </c>
      <c r="Q21" s="617" t="e">
        <v>#VALUE!</v>
      </c>
      <c r="S21" s="519">
        <v>45</v>
      </c>
      <c r="T21" s="518" t="e" vm="3">
        <f t="array" ref="T21">_FV(Q21,"Price")</f>
        <v>#VALUE!</v>
      </c>
      <c r="U21" s="526" t="e" vm="1">
        <f t="shared" ref="U21:U38" si="2">S21*T21</f>
        <v>#VALUE!</v>
      </c>
      <c r="V21" s="527" t="s">
        <v>469</v>
      </c>
      <c r="W21" s="743" t="e" vm="1">
        <f t="shared" ref="W21:W38" si="3">U21/$R$45</f>
        <v>#VALUE!</v>
      </c>
      <c r="X21" t="s">
        <v>338</v>
      </c>
      <c r="AC21" s="529" t="e" vm="4">
        <f t="array" ref="AC21">_FV(AD21,"Ticker symbol",TRUE)</f>
        <v>#VALUE!</v>
      </c>
      <c r="AD21" s="529" t="e">
        <v>#VALUE!</v>
      </c>
      <c r="AE21" s="688"/>
      <c r="AF21" s="772">
        <v>0.28000000000000003</v>
      </c>
      <c r="AG21" s="688"/>
      <c r="AH21" s="772"/>
      <c r="AI21" s="688">
        <v>0.28000000000000003</v>
      </c>
      <c r="AJ21" s="772"/>
      <c r="AK21" s="688"/>
      <c r="AL21" s="772">
        <v>0.28000000000000003</v>
      </c>
      <c r="AM21" s="688"/>
      <c r="AN21" s="772"/>
      <c r="AO21" s="688">
        <v>0.28000000000000003</v>
      </c>
      <c r="AP21" s="772"/>
    </row>
    <row r="22" spans="3:42" ht="17" customHeight="1">
      <c r="C22" s="484" t="s">
        <v>490</v>
      </c>
      <c r="D22" s="485" t="s">
        <v>493</v>
      </c>
      <c r="E22" s="486"/>
      <c r="F22" s="486"/>
      <c r="G22" s="486"/>
      <c r="H22" s="486"/>
      <c r="I22" s="486"/>
      <c r="J22" s="487" t="s">
        <v>457</v>
      </c>
      <c r="K22" s="506" t="s">
        <v>494</v>
      </c>
      <c r="M22" s="596" t="e" vm="2">
        <f t="array" ref="M22">_FV(Q22,"Currency",TRUE)</f>
        <v>#VALUE!</v>
      </c>
      <c r="N22">
        <v>2</v>
      </c>
      <c r="P22" s="347" t="e" vm="4">
        <f t="array" ref="P22">_FV(Q22,"Ticker symbol",TRUE)</f>
        <v>#VALUE!</v>
      </c>
      <c r="Q22" s="617" t="e">
        <v>#VALUE!</v>
      </c>
      <c r="S22" s="519">
        <v>50</v>
      </c>
      <c r="T22" s="518" t="e" vm="3">
        <f t="array" ref="T22">_FV(Q22,"Price")</f>
        <v>#VALUE!</v>
      </c>
      <c r="U22" s="526" t="e" vm="1">
        <f t="shared" si="2"/>
        <v>#VALUE!</v>
      </c>
      <c r="V22" s="527" t="s">
        <v>469</v>
      </c>
      <c r="W22" s="743" t="e" vm="1">
        <f t="shared" si="3"/>
        <v>#VALUE!</v>
      </c>
      <c r="X22" t="s">
        <v>330</v>
      </c>
      <c r="AC22" s="529" t="e" vm="4">
        <f t="array" ref="AC22">_FV(AD22,"Ticker symbol",TRUE)</f>
        <v>#VALUE!</v>
      </c>
      <c r="AD22" s="74" t="e">
        <v>#VALUE!</v>
      </c>
      <c r="AE22" s="688">
        <v>8.6999999999999994E-2</v>
      </c>
      <c r="AF22" s="772"/>
      <c r="AG22" s="688"/>
      <c r="AH22" s="772">
        <v>8.6999999999999994E-2</v>
      </c>
      <c r="AI22" s="688"/>
      <c r="AJ22" s="772"/>
      <c r="AK22" s="688">
        <v>8.6999999999999994E-2</v>
      </c>
      <c r="AL22" s="772"/>
      <c r="AM22" s="688"/>
      <c r="AN22" s="772">
        <v>8.6999999999999994E-2</v>
      </c>
      <c r="AO22" s="688"/>
      <c r="AP22" s="772"/>
    </row>
    <row r="23" spans="3:42" ht="17" customHeight="1">
      <c r="C23" s="484" t="s">
        <v>490</v>
      </c>
      <c r="D23" s="485" t="s">
        <v>495</v>
      </c>
      <c r="E23" s="486"/>
      <c r="F23" s="486"/>
      <c r="G23" s="486"/>
      <c r="H23" s="486"/>
      <c r="I23" s="486"/>
      <c r="J23" s="487" t="s">
        <v>457</v>
      </c>
      <c r="K23" s="506" t="s">
        <v>496</v>
      </c>
      <c r="M23" s="596" t="e" vm="2">
        <f t="array" ref="M23">_FV(Q23,"Currency",TRUE)</f>
        <v>#VALUE!</v>
      </c>
      <c r="N23">
        <v>3</v>
      </c>
      <c r="P23" s="347" t="e" vm="4">
        <f t="array" ref="P23">_FV(Q23,"Ticker symbol",TRUE)</f>
        <v>#VALUE!</v>
      </c>
      <c r="Q23" s="617" t="e">
        <v>#VALUE!</v>
      </c>
      <c r="S23" s="519">
        <v>50</v>
      </c>
      <c r="T23" s="518" t="e" vm="3">
        <f t="array" ref="T23">_FV(Q23,"Price")</f>
        <v>#VALUE!</v>
      </c>
      <c r="U23" s="526" t="e" vm="1">
        <f t="shared" si="2"/>
        <v>#VALUE!</v>
      </c>
      <c r="V23" s="527" t="s">
        <v>469</v>
      </c>
      <c r="W23" s="743" t="e" vm="1">
        <f t="shared" si="3"/>
        <v>#VALUE!</v>
      </c>
      <c r="X23" t="s">
        <v>364</v>
      </c>
      <c r="AC23" s="529" t="e" vm="4">
        <f t="array" ref="AC23">_FV(AD23,"Ticker symbol",TRUE)</f>
        <v>#VALUE!</v>
      </c>
      <c r="AD23" s="529" t="e">
        <v>#VALUE!</v>
      </c>
      <c r="AE23" s="688" t="s">
        <v>453</v>
      </c>
      <c r="AF23" s="772"/>
      <c r="AG23" s="688">
        <v>0.125</v>
      </c>
      <c r="AH23" s="772"/>
      <c r="AI23" s="688"/>
      <c r="AJ23" s="772">
        <v>0.125</v>
      </c>
      <c r="AK23" s="688"/>
      <c r="AL23" s="772"/>
      <c r="AM23" s="688">
        <v>0.125</v>
      </c>
      <c r="AN23" s="772"/>
      <c r="AO23" s="688"/>
      <c r="AP23" s="772">
        <v>0.125</v>
      </c>
    </row>
    <row r="24" spans="3:42" ht="17" customHeight="1">
      <c r="C24" s="484" t="s">
        <v>490</v>
      </c>
      <c r="D24" s="485" t="s">
        <v>497</v>
      </c>
      <c r="E24" s="486"/>
      <c r="F24" s="486"/>
      <c r="G24" s="486"/>
      <c r="H24" s="486"/>
      <c r="I24" s="486"/>
      <c r="J24" s="487" t="s">
        <v>457</v>
      </c>
      <c r="K24" s="506" t="s">
        <v>498</v>
      </c>
      <c r="M24" s="596" t="e" vm="2">
        <f t="array" ref="M24">_FV(Q24,"Currency",TRUE)</f>
        <v>#VALUE!</v>
      </c>
      <c r="N24">
        <v>4</v>
      </c>
      <c r="P24" s="347" t="e" vm="4">
        <f t="array" ref="P24">_FV(Q24,"Ticker symbol",TRUE)</f>
        <v>#VALUE!</v>
      </c>
      <c r="Q24" s="897" t="e">
        <v>#VALUE!</v>
      </c>
      <c r="R24" s="898"/>
      <c r="S24" s="899">
        <v>0</v>
      </c>
      <c r="T24" s="900" t="e" vm="3">
        <f t="array" ref="T24">_FV(Q24,"Price")</f>
        <v>#VALUE!</v>
      </c>
      <c r="U24" s="526" t="e" vm="1">
        <f t="shared" si="2"/>
        <v>#VALUE!</v>
      </c>
      <c r="V24" s="527" t="s">
        <v>451</v>
      </c>
      <c r="W24" s="743" t="e" vm="1">
        <f t="shared" si="3"/>
        <v>#VALUE!</v>
      </c>
      <c r="AC24" s="529" t="e" vm="4">
        <f t="array" ref="AC24">_FV(AD24,"Ticker symbol",TRUE)</f>
        <v>#VALUE!</v>
      </c>
      <c r="AD24" s="529" t="e">
        <v>#VALUE!</v>
      </c>
      <c r="AE24" s="688" t="s">
        <v>453</v>
      </c>
      <c r="AF24" s="772"/>
      <c r="AG24" s="688">
        <v>0.4</v>
      </c>
      <c r="AH24" s="772"/>
      <c r="AI24" s="688"/>
      <c r="AJ24" s="772">
        <v>0.4</v>
      </c>
      <c r="AK24" s="688"/>
      <c r="AL24" s="772"/>
      <c r="AM24" s="688">
        <v>0.4</v>
      </c>
      <c r="AN24" s="772"/>
      <c r="AO24" s="688"/>
      <c r="AP24" s="772">
        <v>0.4</v>
      </c>
    </row>
    <row r="25" spans="3:42" ht="17" customHeight="1">
      <c r="C25" s="484" t="s">
        <v>490</v>
      </c>
      <c r="D25" s="485" t="s">
        <v>499</v>
      </c>
      <c r="E25" s="486"/>
      <c r="F25" s="486"/>
      <c r="G25" s="486"/>
      <c r="H25" s="486"/>
      <c r="I25" s="486"/>
      <c r="J25" s="487" t="s">
        <v>457</v>
      </c>
      <c r="K25" s="506" t="s">
        <v>500</v>
      </c>
      <c r="M25" s="596" t="e" vm="2">
        <f t="array" ref="M25">_FV(Q25,"Currency",TRUE)</f>
        <v>#VALUE!</v>
      </c>
      <c r="N25">
        <v>5</v>
      </c>
      <c r="P25" s="347" t="e" vm="4">
        <f t="array" ref="P25">_FV(Q25,"Ticker symbol",TRUE)</f>
        <v>#VALUE!</v>
      </c>
      <c r="Q25" s="617" t="e">
        <v>#VALUE!</v>
      </c>
      <c r="S25" s="519">
        <v>50</v>
      </c>
      <c r="T25" s="518" t="e" vm="3">
        <f t="array" ref="T25">_FV(Q25,"Price")</f>
        <v>#VALUE!</v>
      </c>
      <c r="U25" s="526" t="e" vm="1">
        <f t="shared" si="2"/>
        <v>#VALUE!</v>
      </c>
      <c r="V25" s="527" t="s">
        <v>469</v>
      </c>
      <c r="W25" s="743" t="e" vm="1">
        <f t="shared" si="3"/>
        <v>#VALUE!</v>
      </c>
      <c r="X25" t="s">
        <v>501</v>
      </c>
      <c r="AC25" s="529" t="e" vm="4">
        <f t="array" ref="AC25">_FV(AD25,"Ticker symbol",TRUE)</f>
        <v>#VALUE!</v>
      </c>
      <c r="AD25" t="e">
        <v>#VALUE!</v>
      </c>
      <c r="AE25" s="688"/>
      <c r="AF25" s="772"/>
      <c r="AG25" s="688"/>
      <c r="AH25" s="772"/>
      <c r="AI25" s="688"/>
      <c r="AJ25" s="772"/>
      <c r="AK25" s="688"/>
      <c r="AL25" s="772"/>
      <c r="AM25" s="688"/>
      <c r="AN25" s="772"/>
      <c r="AO25" s="688"/>
      <c r="AP25" s="772"/>
    </row>
    <row r="26" spans="3:42" ht="17" customHeight="1">
      <c r="C26" s="484" t="s">
        <v>490</v>
      </c>
      <c r="D26" s="485" t="s">
        <v>502</v>
      </c>
      <c r="E26" s="486"/>
      <c r="F26" s="486"/>
      <c r="G26" s="486"/>
      <c r="H26" s="486"/>
      <c r="I26" s="486"/>
      <c r="J26" s="487" t="s">
        <v>457</v>
      </c>
      <c r="K26" s="506" t="s">
        <v>503</v>
      </c>
      <c r="M26" s="596" t="e" vm="2">
        <f t="array" ref="M26">_FV(Q26,"Currency",TRUE)</f>
        <v>#VALUE!</v>
      </c>
      <c r="N26">
        <v>6</v>
      </c>
      <c r="P26" s="347" t="e" vm="4">
        <f t="array" ref="P26">_FV(Q26,"Ticker symbol",TRUE)</f>
        <v>#VALUE!</v>
      </c>
      <c r="Q26" s="667" t="e">
        <v>#VALUE!</v>
      </c>
      <c r="S26" s="519">
        <v>51</v>
      </c>
      <c r="T26" s="518" t="e" vm="3">
        <f t="array" ref="T26">_FV(Q26,"Price")</f>
        <v>#VALUE!</v>
      </c>
      <c r="U26" s="526" t="e" vm="1">
        <f t="shared" si="2"/>
        <v>#VALUE!</v>
      </c>
      <c r="V26" s="527" t="s">
        <v>469</v>
      </c>
      <c r="W26" s="743" t="e" vm="1">
        <f t="shared" si="3"/>
        <v>#VALUE!</v>
      </c>
      <c r="X26" t="s">
        <v>371</v>
      </c>
      <c r="AC26" s="529" t="e" vm="4">
        <f t="array" ref="AC26">_FV(AD26,"Ticker symbol",TRUE)</f>
        <v>#VALUE!</v>
      </c>
      <c r="AD26" s="529" t="e">
        <v>#VALUE!</v>
      </c>
      <c r="AE26" s="688">
        <v>0.19</v>
      </c>
      <c r="AF26" s="772">
        <v>0.19</v>
      </c>
      <c r="AG26" s="688">
        <v>0.19</v>
      </c>
      <c r="AH26" s="772">
        <v>0.19</v>
      </c>
      <c r="AI26" s="688">
        <v>0.19</v>
      </c>
      <c r="AJ26" s="772">
        <v>0.19</v>
      </c>
      <c r="AK26" s="688">
        <v>0.19</v>
      </c>
      <c r="AL26" s="772">
        <v>0.19</v>
      </c>
      <c r="AM26" s="688">
        <v>0.19</v>
      </c>
      <c r="AN26" s="772">
        <v>0.19</v>
      </c>
      <c r="AO26" s="688">
        <v>0.19</v>
      </c>
      <c r="AP26" s="772">
        <v>0.19</v>
      </c>
    </row>
    <row r="27" spans="3:42" ht="17" customHeight="1">
      <c r="C27" s="484" t="s">
        <v>490</v>
      </c>
      <c r="D27" s="485" t="s">
        <v>504</v>
      </c>
      <c r="E27" s="486"/>
      <c r="F27" s="486"/>
      <c r="G27" s="486"/>
      <c r="H27" s="486"/>
      <c r="I27" s="486"/>
      <c r="J27" s="487" t="s">
        <v>457</v>
      </c>
      <c r="K27" s="506" t="s">
        <v>503</v>
      </c>
      <c r="M27" s="596" t="e" vm="2">
        <f t="array" ref="M27">_FV(Q27,"Currency",TRUE)</f>
        <v>#VALUE!</v>
      </c>
      <c r="N27">
        <v>7</v>
      </c>
      <c r="P27" s="347" t="e" vm="4">
        <f t="array" ref="P27">_FV(Q27,"Ticker symbol",TRUE)</f>
        <v>#VALUE!</v>
      </c>
      <c r="Q27" s="667" t="e">
        <v>#VALUE!</v>
      </c>
      <c r="S27" s="519">
        <v>30</v>
      </c>
      <c r="T27" s="518" t="e" vm="3">
        <f t="array" ref="T27">_FV(Q27,"Price")</f>
        <v>#VALUE!</v>
      </c>
      <c r="U27" s="526" t="e" vm="1">
        <f t="shared" si="2"/>
        <v>#VALUE!</v>
      </c>
      <c r="V27" t="s">
        <v>469</v>
      </c>
      <c r="W27" s="743" t="e" vm="1">
        <f t="shared" si="3"/>
        <v>#VALUE!</v>
      </c>
      <c r="X27" t="s">
        <v>377</v>
      </c>
      <c r="AC27" s="529" t="e" vm="4">
        <f t="array" ref="AC27">_FV(AD27,"Ticker symbol",TRUE)</f>
        <v>#VALUE!</v>
      </c>
      <c r="AD27" s="529" t="e">
        <v>#VALUE!</v>
      </c>
      <c r="AE27" s="688"/>
      <c r="AF27" s="772"/>
      <c r="AG27" s="688">
        <v>0.31</v>
      </c>
      <c r="AH27" s="772"/>
      <c r="AI27" s="688"/>
      <c r="AJ27" s="772">
        <v>0.33</v>
      </c>
      <c r="AK27" s="688"/>
      <c r="AL27" s="772"/>
      <c r="AM27" s="688">
        <v>0.33</v>
      </c>
      <c r="AN27" s="772"/>
      <c r="AO27" s="688"/>
      <c r="AP27" s="772">
        <v>0.33</v>
      </c>
    </row>
    <row r="28" spans="3:42" ht="17" customHeight="1">
      <c r="C28" s="484" t="s">
        <v>490</v>
      </c>
      <c r="D28" s="485" t="s">
        <v>505</v>
      </c>
      <c r="E28" s="486"/>
      <c r="F28" s="486"/>
      <c r="G28" s="486"/>
      <c r="H28" s="486"/>
      <c r="I28" s="486"/>
      <c r="J28" s="487" t="s">
        <v>457</v>
      </c>
      <c r="K28" s="506" t="s">
        <v>503</v>
      </c>
      <c r="M28" s="596" t="e" vm="2">
        <f t="array" ref="M28">_FV(Q28,"Currency",TRUE)</f>
        <v>#VALUE!</v>
      </c>
      <c r="N28">
        <v>8</v>
      </c>
      <c r="P28" s="347" t="e" vm="4">
        <f t="array" ref="P28">_FV(Q28,"Ticker symbol",TRUE)</f>
        <v>#VALUE!</v>
      </c>
      <c r="Q28" s="529" t="e">
        <v>#VALUE!</v>
      </c>
      <c r="S28" s="519">
        <v>25</v>
      </c>
      <c r="T28" s="518" t="e" vm="3">
        <f t="array" ref="T28">_FV(Q28,"Price")</f>
        <v>#VALUE!</v>
      </c>
      <c r="U28" s="526" t="e" vm="1">
        <f t="shared" si="2"/>
        <v>#VALUE!</v>
      </c>
      <c r="V28" s="527" t="s">
        <v>469</v>
      </c>
      <c r="W28" s="743" t="e" vm="1">
        <f t="shared" si="3"/>
        <v>#VALUE!</v>
      </c>
      <c r="X28" t="s">
        <v>506</v>
      </c>
      <c r="AC28" s="529" t="e" vm="4">
        <f t="array" ref="AC28">_FV(AD28,"Ticker symbol",TRUE)</f>
        <v>#VALUE!</v>
      </c>
      <c r="AD28" s="529" t="e">
        <v>#VALUE!</v>
      </c>
      <c r="AE28" s="688"/>
      <c r="AF28" s="772"/>
      <c r="AG28" s="688">
        <v>0.36</v>
      </c>
      <c r="AH28" s="772"/>
      <c r="AI28" s="688"/>
      <c r="AJ28" s="772">
        <v>0.37</v>
      </c>
      <c r="AK28" s="688"/>
      <c r="AL28" s="772"/>
      <c r="AM28" s="688">
        <v>0.37</v>
      </c>
      <c r="AN28" s="772"/>
      <c r="AO28" s="688">
        <v>0.37</v>
      </c>
      <c r="AP28" s="772"/>
    </row>
    <row r="29" spans="3:42" ht="17" customHeight="1">
      <c r="C29" s="484" t="s">
        <v>490</v>
      </c>
      <c r="D29" s="485" t="s">
        <v>507</v>
      </c>
      <c r="E29" s="486"/>
      <c r="F29" s="486"/>
      <c r="G29" s="486"/>
      <c r="H29" s="486"/>
      <c r="I29" s="486"/>
      <c r="J29" s="487" t="s">
        <v>457</v>
      </c>
      <c r="K29" s="506" t="s">
        <v>508</v>
      </c>
      <c r="M29" s="596" t="e" vm="2">
        <f t="array" ref="M29">_FV(Q29,"Currency",TRUE)</f>
        <v>#VALUE!</v>
      </c>
      <c r="N29">
        <v>9</v>
      </c>
      <c r="P29" s="347" t="e" vm="4">
        <f t="array" ref="P29">_FV(Q29,"Ticker symbol",TRUE)</f>
        <v>#VALUE!</v>
      </c>
      <c r="Q29" s="529" t="e">
        <v>#VALUE!</v>
      </c>
      <c r="S29" s="519">
        <v>20</v>
      </c>
      <c r="T29" s="518" t="e" vm="3">
        <f t="array" ref="T29">_FV(Q29,"Price")</f>
        <v>#VALUE!</v>
      </c>
      <c r="U29" s="526" t="e" vm="1">
        <f t="shared" si="2"/>
        <v>#VALUE!</v>
      </c>
      <c r="V29" s="527" t="s">
        <v>469</v>
      </c>
      <c r="W29" s="743" t="e" vm="1">
        <f t="shared" si="3"/>
        <v>#VALUE!</v>
      </c>
      <c r="X29" t="s">
        <v>509</v>
      </c>
      <c r="AC29" s="529" t="e" vm="4">
        <f t="array" ref="AC29">_FV(AD29,"Ticker symbol",TRUE)</f>
        <v>#VALUE!</v>
      </c>
      <c r="AD29" s="529" t="e">
        <v>#VALUE!</v>
      </c>
      <c r="AE29" s="688">
        <v>0.66</v>
      </c>
      <c r="AF29" s="772"/>
      <c r="AG29" s="688"/>
      <c r="AH29" s="772">
        <v>0.66</v>
      </c>
      <c r="AI29" s="688"/>
      <c r="AJ29" s="772"/>
      <c r="AK29" s="688">
        <v>0.66</v>
      </c>
      <c r="AL29" s="772"/>
      <c r="AM29" s="688"/>
      <c r="AN29" s="772">
        <v>0.66</v>
      </c>
      <c r="AO29" s="688"/>
      <c r="AP29" s="772"/>
    </row>
    <row r="30" spans="3:42" ht="17" customHeight="1">
      <c r="C30" s="484" t="s">
        <v>490</v>
      </c>
      <c r="D30" s="485" t="s">
        <v>510</v>
      </c>
      <c r="E30" s="486"/>
      <c r="F30" s="486"/>
      <c r="G30" s="486"/>
      <c r="H30" s="486"/>
      <c r="I30" s="486"/>
      <c r="J30" s="487" t="s">
        <v>457</v>
      </c>
      <c r="K30" s="506" t="s">
        <v>511</v>
      </c>
      <c r="M30" s="596" t="e" vm="2">
        <f t="array" ref="M30">_FV(Q30,"Currency",TRUE)</f>
        <v>#VALUE!</v>
      </c>
      <c r="N30">
        <v>10</v>
      </c>
      <c r="P30" s="347" t="e" vm="4">
        <f t="array" ref="P30">_FV(Q30,"Ticker symbol",TRUE)</f>
        <v>#VALUE!</v>
      </c>
      <c r="Q30" s="529" t="e">
        <v>#VALUE!</v>
      </c>
      <c r="S30" s="519">
        <v>25</v>
      </c>
      <c r="T30" s="518" t="e" vm="3">
        <f t="array" ref="T30">_FV(Q30,"Price")</f>
        <v>#VALUE!</v>
      </c>
      <c r="U30" s="526" t="e" vm="1">
        <f t="shared" si="2"/>
        <v>#VALUE!</v>
      </c>
      <c r="V30" s="527" t="s">
        <v>469</v>
      </c>
      <c r="W30" s="743" t="e" vm="1">
        <f t="shared" si="3"/>
        <v>#VALUE!</v>
      </c>
      <c r="X30" t="s">
        <v>512</v>
      </c>
      <c r="AC30" s="529" t="e" vm="4">
        <f t="array" ref="AC30">_FV(AD30,"Ticker symbol",TRUE)</f>
        <v>#VALUE!</v>
      </c>
      <c r="AD30" s="74" t="e">
        <v>#VALUE!</v>
      </c>
      <c r="AE30" s="688" t="s">
        <v>453</v>
      </c>
      <c r="AF30" s="772">
        <v>0.48</v>
      </c>
      <c r="AG30" s="688"/>
      <c r="AH30" s="772"/>
      <c r="AI30" s="688">
        <v>0.48</v>
      </c>
      <c r="AJ30" s="772"/>
      <c r="AK30" s="688"/>
      <c r="AL30" s="772">
        <v>0.48</v>
      </c>
      <c r="AM30" s="688"/>
      <c r="AN30" s="772"/>
      <c r="AO30" s="688">
        <v>0.48</v>
      </c>
      <c r="AP30" s="772"/>
    </row>
    <row r="31" spans="3:42" ht="17" customHeight="1">
      <c r="C31" s="488" t="s">
        <v>513</v>
      </c>
      <c r="D31" s="512" t="e">
        <v>#VALUE!</v>
      </c>
      <c r="E31" s="490"/>
      <c r="F31" s="490"/>
      <c r="G31" s="490"/>
      <c r="H31" s="490"/>
      <c r="I31" s="490"/>
      <c r="J31" s="491" t="s">
        <v>514</v>
      </c>
      <c r="K31" s="507" t="s">
        <v>515</v>
      </c>
      <c r="M31" s="596" t="e" vm="2">
        <f t="array" ref="M31">_FV(Q31,"Currency",TRUE)</f>
        <v>#VALUE!</v>
      </c>
      <c r="N31">
        <v>11</v>
      </c>
      <c r="P31" s="347" t="e" vm="4">
        <f t="array" ref="P31">_FV(Q31,"Ticker symbol",TRUE)</f>
        <v>#VALUE!</v>
      </c>
      <c r="Q31" s="529" t="e">
        <v>#VALUE!</v>
      </c>
      <c r="S31" s="519">
        <v>20</v>
      </c>
      <c r="T31" s="518" t="e" vm="3">
        <f t="array" ref="T31">_FV(Q31,"Price")</f>
        <v>#VALUE!</v>
      </c>
      <c r="U31" s="526" t="e" vm="1">
        <f t="shared" si="2"/>
        <v>#VALUE!</v>
      </c>
      <c r="V31" s="527" t="s">
        <v>469</v>
      </c>
      <c r="W31" s="743" t="e" vm="1">
        <f t="shared" si="3"/>
        <v>#VALUE!</v>
      </c>
      <c r="X31" t="s">
        <v>516</v>
      </c>
    </row>
    <row r="32" spans="3:42" ht="17" customHeight="1">
      <c r="C32" s="488" t="s">
        <v>513</v>
      </c>
      <c r="D32" s="593" t="e">
        <v>#VALUE!</v>
      </c>
      <c r="E32" s="490"/>
      <c r="F32" s="490"/>
      <c r="G32" s="490"/>
      <c r="H32" s="490"/>
      <c r="I32" s="490"/>
      <c r="J32" s="491" t="s">
        <v>517</v>
      </c>
      <c r="K32" s="507" t="s">
        <v>518</v>
      </c>
      <c r="M32" s="596" t="e" vm="2">
        <f t="array" ref="M32">_FV(Q32,"Currency",TRUE)</f>
        <v>#VALUE!</v>
      </c>
      <c r="N32">
        <v>12</v>
      </c>
      <c r="P32" s="347" t="e" vm="4">
        <f t="array" ref="P32">_FV(Q32,"Ticker symbol",TRUE)</f>
        <v>#VALUE!</v>
      </c>
      <c r="Q32" s="74" t="e">
        <v>#VALUE!</v>
      </c>
      <c r="S32" s="519">
        <v>25</v>
      </c>
      <c r="T32" s="518" t="e" vm="3">
        <f t="array" ref="T32">_FV(Q32,"Price")</f>
        <v>#VALUE!</v>
      </c>
      <c r="U32" s="526" t="e" vm="1">
        <f t="shared" si="2"/>
        <v>#VALUE!</v>
      </c>
      <c r="V32" t="s">
        <v>469</v>
      </c>
      <c r="W32" s="743" t="e" vm="1">
        <f t="shared" si="3"/>
        <v>#VALUE!</v>
      </c>
      <c r="X32" t="s">
        <v>345</v>
      </c>
      <c r="AD32" t="s">
        <v>519</v>
      </c>
      <c r="AE32">
        <f t="shared" ref="AE32:AP32" si="4">SUM(AE10:AE31)</f>
        <v>1.4969999999999999</v>
      </c>
      <c r="AF32">
        <f t="shared" si="4"/>
        <v>1.8</v>
      </c>
      <c r="AG32">
        <f t="shared" si="4"/>
        <v>1.5249999999999999</v>
      </c>
      <c r="AH32">
        <f t="shared" si="4"/>
        <v>0.93700000000000006</v>
      </c>
      <c r="AI32">
        <f t="shared" si="4"/>
        <v>1.115</v>
      </c>
      <c r="AJ32">
        <f t="shared" si="4"/>
        <v>2.5449999999999999</v>
      </c>
      <c r="AK32">
        <f t="shared" si="4"/>
        <v>3.3770000000000002</v>
      </c>
      <c r="AL32">
        <f t="shared" si="4"/>
        <v>1.75</v>
      </c>
      <c r="AM32">
        <f t="shared" si="4"/>
        <v>1.5550000000000002</v>
      </c>
      <c r="AN32">
        <f t="shared" si="4"/>
        <v>0.93700000000000006</v>
      </c>
      <c r="AO32">
        <f t="shared" si="4"/>
        <v>1.4860000000000002</v>
      </c>
      <c r="AP32">
        <f t="shared" si="4"/>
        <v>2.2450000000000001</v>
      </c>
    </row>
    <row r="33" spans="3:30" ht="17" customHeight="1">
      <c r="C33" s="488" t="s">
        <v>513</v>
      </c>
      <c r="D33" s="512" t="e">
        <v>#VALUE!</v>
      </c>
      <c r="E33" s="490"/>
      <c r="F33" s="490"/>
      <c r="G33" s="490"/>
      <c r="H33" s="490"/>
      <c r="I33" s="490"/>
      <c r="J33" s="491" t="s">
        <v>520</v>
      </c>
      <c r="K33" s="507" t="s">
        <v>521</v>
      </c>
      <c r="M33" s="596" t="e" vm="2">
        <f t="array" ref="M33">_FV(Q33,"Currency",TRUE)</f>
        <v>#VALUE!</v>
      </c>
      <c r="N33">
        <v>13</v>
      </c>
      <c r="P33" s="347" t="e" vm="4">
        <f t="array" ref="P33">_FV(Q33,"Ticker symbol",TRUE)</f>
        <v>#VALUE!</v>
      </c>
      <c r="Q33" s="529" t="e">
        <v>#VALUE!</v>
      </c>
      <c r="S33" s="519">
        <v>20</v>
      </c>
      <c r="T33" s="518" t="e" vm="3">
        <f t="array" ref="T33">_FV(Q33,"Price")</f>
        <v>#VALUE!</v>
      </c>
      <c r="U33" s="526" t="e" vm="1">
        <f t="shared" si="2"/>
        <v>#VALUE!</v>
      </c>
      <c r="V33" s="527" t="s">
        <v>469</v>
      </c>
      <c r="W33" s="743" t="e" vm="1">
        <f t="shared" si="3"/>
        <v>#VALUE!</v>
      </c>
      <c r="X33" t="s">
        <v>522</v>
      </c>
      <c r="AB33" t="s">
        <v>523</v>
      </c>
      <c r="AD33">
        <f>SUM(AE32:AP32)</f>
        <v>20.769000000000005</v>
      </c>
    </row>
    <row r="34" spans="3:30" ht="17" customHeight="1">
      <c r="C34" s="488" t="s">
        <v>513</v>
      </c>
      <c r="D34" s="512" t="e">
        <v>#VALUE!</v>
      </c>
      <c r="E34" s="490"/>
      <c r="F34" s="490"/>
      <c r="G34" s="490"/>
      <c r="H34" s="490"/>
      <c r="I34" s="490"/>
      <c r="J34" s="491" t="s">
        <v>524</v>
      </c>
      <c r="K34" s="507" t="s">
        <v>525</v>
      </c>
      <c r="M34" s="596" t="e" vm="2">
        <f t="array" ref="M34">_FV(Q34,"Currency",TRUE)</f>
        <v>#VALUE!</v>
      </c>
      <c r="N34">
        <v>14</v>
      </c>
      <c r="P34" s="347" t="e" vm="4">
        <f t="array" ref="P34">_FV(Q34,"Ticker symbol",TRUE)</f>
        <v>#VALUE!</v>
      </c>
      <c r="Q34" s="529" t="e">
        <v>#VALUE!</v>
      </c>
      <c r="S34" s="519">
        <v>17</v>
      </c>
      <c r="T34" s="518" t="e" vm="3">
        <f t="array" ref="T34">_FV(Q34,"Price")</f>
        <v>#VALUE!</v>
      </c>
      <c r="U34" s="526" t="e" vm="1">
        <f t="shared" si="2"/>
        <v>#VALUE!</v>
      </c>
      <c r="V34" s="527" t="s">
        <v>469</v>
      </c>
      <c r="W34" s="743" t="e" vm="1">
        <f t="shared" si="3"/>
        <v>#VALUE!</v>
      </c>
      <c r="X34" t="s">
        <v>383</v>
      </c>
    </row>
    <row r="35" spans="3:30" ht="17" customHeight="1">
      <c r="C35" s="488" t="s">
        <v>513</v>
      </c>
      <c r="D35" s="489" t="e">
        <v>#VALUE!</v>
      </c>
      <c r="E35" s="490"/>
      <c r="F35" s="490"/>
      <c r="G35" s="490"/>
      <c r="H35" s="490"/>
      <c r="I35" s="490"/>
      <c r="J35" s="491" t="s">
        <v>526</v>
      </c>
      <c r="K35" s="507" t="s">
        <v>527</v>
      </c>
      <c r="M35" s="596" t="e" vm="2">
        <f t="array" ref="M35">_FV(Q35,"Currency",TRUE)</f>
        <v>#VALUE!</v>
      </c>
      <c r="N35">
        <v>15</v>
      </c>
      <c r="P35" s="347" t="e" vm="4">
        <f t="array" ref="P35">_FV(Q35,"Ticker symbol",TRUE)</f>
        <v>#VALUE!</v>
      </c>
      <c r="Q35" s="529" t="e">
        <v>#VALUE!</v>
      </c>
      <c r="S35" s="519">
        <v>25</v>
      </c>
      <c r="T35" s="518" t="e" vm="3">
        <f t="array" ref="T35">_FV(Q35,"Price")</f>
        <v>#VALUE!</v>
      </c>
      <c r="U35" s="526" t="e" vm="1">
        <f t="shared" si="2"/>
        <v>#VALUE!</v>
      </c>
      <c r="V35" s="527" t="s">
        <v>469</v>
      </c>
      <c r="W35" s="743" t="e" vm="1">
        <f t="shared" si="3"/>
        <v>#VALUE!</v>
      </c>
      <c r="X35" t="s">
        <v>528</v>
      </c>
    </row>
    <row r="36" spans="3:30" ht="17" customHeight="1">
      <c r="C36" s="488" t="s">
        <v>513</v>
      </c>
      <c r="D36" s="512" t="e">
        <v>#VALUE!</v>
      </c>
      <c r="E36" s="490"/>
      <c r="F36" s="490"/>
      <c r="G36" s="490"/>
      <c r="H36" s="490"/>
      <c r="I36" s="490"/>
      <c r="J36" s="491" t="s">
        <v>529</v>
      </c>
      <c r="K36" s="507" t="s">
        <v>530</v>
      </c>
      <c r="M36" s="596" t="e" vm="2">
        <f t="array" ref="M36">_FV(Q36,"Currency",TRUE)</f>
        <v>#VALUE!</v>
      </c>
      <c r="N36">
        <v>16</v>
      </c>
      <c r="P36" s="347" t="e" vm="4">
        <f t="array" ref="P36">_FV(Q36,"Ticker symbol",TRUE)</f>
        <v>#VALUE!</v>
      </c>
      <c r="Q36" s="956" t="e">
        <v>#VALUE!</v>
      </c>
      <c r="S36" s="957">
        <v>0</v>
      </c>
      <c r="T36" s="958" t="e" vm="3">
        <f t="array" ref="T36">_FV(Q36,"Price")</f>
        <v>#VALUE!</v>
      </c>
      <c r="U36" s="526" t="e" vm="1">
        <f t="shared" si="2"/>
        <v>#VALUE!</v>
      </c>
      <c r="V36" s="527" t="s">
        <v>451</v>
      </c>
      <c r="W36" s="743" t="e" vm="1">
        <f t="shared" si="3"/>
        <v>#VALUE!</v>
      </c>
    </row>
    <row r="37" spans="3:30" ht="17" customHeight="1">
      <c r="C37" s="488" t="s">
        <v>513</v>
      </c>
      <c r="D37" s="489" t="e">
        <v>#VALUE!</v>
      </c>
      <c r="E37" s="490"/>
      <c r="F37" s="490"/>
      <c r="G37" s="490"/>
      <c r="H37" s="490"/>
      <c r="I37" s="490"/>
      <c r="J37" s="491" t="s">
        <v>531</v>
      </c>
      <c r="K37" s="507" t="s">
        <v>532</v>
      </c>
      <c r="M37" s="596" t="e" vm="2">
        <f t="array" ref="M37">_FV(Q37,"Currency",TRUE)</f>
        <v>#VALUE!</v>
      </c>
      <c r="N37">
        <v>17</v>
      </c>
      <c r="P37" s="347" t="e" vm="4">
        <f t="array" ref="P37">_FV(Q37,"Ticker symbol",TRUE)</f>
        <v>#VALUE!</v>
      </c>
      <c r="Q37" t="e">
        <v>#VALUE!</v>
      </c>
      <c r="S37" s="519">
        <v>25</v>
      </c>
      <c r="T37" s="518" t="e" vm="3">
        <f t="array" ref="T37">_FV(Q37,"Price")</f>
        <v>#VALUE!</v>
      </c>
      <c r="U37" s="526" t="e" vm="1">
        <f t="shared" si="2"/>
        <v>#VALUE!</v>
      </c>
      <c r="V37" s="527" t="s">
        <v>469</v>
      </c>
      <c r="W37" s="743" t="e" vm="1">
        <f t="shared" si="3"/>
        <v>#VALUE!</v>
      </c>
      <c r="X37" t="s">
        <v>533</v>
      </c>
    </row>
    <row r="38" spans="3:30" ht="17" customHeight="1">
      <c r="C38" s="488" t="s">
        <v>513</v>
      </c>
      <c r="D38" s="594" t="e">
        <v>#VALUE!</v>
      </c>
      <c r="E38" s="490"/>
      <c r="F38" s="490"/>
      <c r="G38" s="490"/>
      <c r="H38" s="490"/>
      <c r="I38" s="490"/>
      <c r="J38" s="491" t="s">
        <v>534</v>
      </c>
      <c r="K38" s="507" t="s">
        <v>532</v>
      </c>
      <c r="M38" t="s">
        <v>448</v>
      </c>
      <c r="N38">
        <v>18</v>
      </c>
      <c r="P38" t="s">
        <v>535</v>
      </c>
      <c r="Q38" t="e">
        <v>#VALUE!</v>
      </c>
      <c r="S38" s="519">
        <v>20</v>
      </c>
      <c r="T38" s="518" t="e" vm="3">
        <f t="array" ref="T38">_FV(Q38,"Price")</f>
        <v>#VALUE!</v>
      </c>
      <c r="U38" s="526" t="e" vm="1">
        <f t="shared" si="2"/>
        <v>#VALUE!</v>
      </c>
      <c r="V38" t="s">
        <v>469</v>
      </c>
      <c r="W38" s="743" t="e" vm="1">
        <f t="shared" si="3"/>
        <v>#VALUE!</v>
      </c>
      <c r="X38" t="s">
        <v>368</v>
      </c>
    </row>
    <row r="39" spans="3:30" ht="17" customHeight="1">
      <c r="C39" s="488" t="s">
        <v>513</v>
      </c>
      <c r="D39" s="512" t="e">
        <v>#VALUE!</v>
      </c>
      <c r="E39" s="490"/>
      <c r="F39" s="490"/>
      <c r="G39" s="490"/>
      <c r="H39" s="490"/>
      <c r="I39" s="490"/>
      <c r="J39" s="491" t="s">
        <v>536</v>
      </c>
      <c r="K39" s="507" t="s">
        <v>537</v>
      </c>
      <c r="Y39" s="592"/>
    </row>
    <row r="40" spans="3:30" ht="17" customHeight="1">
      <c r="C40" s="488" t="s">
        <v>513</v>
      </c>
      <c r="D40" s="512" t="e">
        <v>#VALUE!</v>
      </c>
      <c r="E40" s="490"/>
      <c r="F40" s="490"/>
      <c r="G40" s="490"/>
      <c r="H40" s="490"/>
      <c r="I40" s="490"/>
      <c r="J40" s="491" t="s">
        <v>538</v>
      </c>
      <c r="K40" s="507" t="s">
        <v>539</v>
      </c>
      <c r="W40" s="745" t="e" vm="1">
        <f>SUM(W10:W38)</f>
        <v>#VALUE!</v>
      </c>
    </row>
    <row r="41" spans="3:30" ht="17" customHeight="1">
      <c r="C41" s="492" t="s">
        <v>540</v>
      </c>
      <c r="D41" s="493" t="e">
        <v>#VALUE!</v>
      </c>
      <c r="E41" s="494"/>
      <c r="F41" s="494"/>
      <c r="G41" s="494"/>
      <c r="H41" s="494"/>
      <c r="I41" s="494"/>
      <c r="J41" s="495" t="s">
        <v>541</v>
      </c>
      <c r="K41" s="508" t="s">
        <v>542</v>
      </c>
      <c r="T41" s="884" t="s">
        <v>543</v>
      </c>
      <c r="U41" s="868" t="e" vm="1">
        <f>SUM(U21:U40)</f>
        <v>#VALUE!</v>
      </c>
      <c r="W41" s="616"/>
      <c r="X41" s="893" t="e" vm="1">
        <f>U41/$R$45</f>
        <v>#VALUE!</v>
      </c>
    </row>
    <row r="42" spans="3:30" ht="17" customHeight="1">
      <c r="C42" s="492" t="s">
        <v>540</v>
      </c>
      <c r="D42" s="513" t="e">
        <v>#VALUE!</v>
      </c>
      <c r="E42" s="494"/>
      <c r="F42" s="494"/>
      <c r="G42" s="494"/>
      <c r="H42" s="494"/>
      <c r="I42" s="494"/>
      <c r="J42" s="495" t="s">
        <v>544</v>
      </c>
      <c r="K42" s="508" t="s">
        <v>483</v>
      </c>
    </row>
    <row r="43" spans="3:30" ht="17" customHeight="1">
      <c r="C43" s="492" t="s">
        <v>540</v>
      </c>
      <c r="D43" s="493" t="e">
        <v>#VALUE!</v>
      </c>
      <c r="E43" s="494"/>
      <c r="F43" s="494"/>
      <c r="G43" s="494"/>
      <c r="H43" s="494"/>
      <c r="I43" s="494"/>
      <c r="J43" s="495" t="s">
        <v>545</v>
      </c>
      <c r="K43" s="508" t="s">
        <v>546</v>
      </c>
      <c r="Q43" s="577" t="s">
        <v>547</v>
      </c>
      <c r="R43" s="578">
        <f>COUNTA(S9:S40)</f>
        <v>25</v>
      </c>
    </row>
    <row r="44" spans="3:30" ht="17" customHeight="1">
      <c r="C44" s="492" t="s">
        <v>540</v>
      </c>
      <c r="D44" s="493" t="e">
        <v>#VALUE!</v>
      </c>
      <c r="E44" s="494"/>
      <c r="F44" s="494"/>
      <c r="G44" s="494"/>
      <c r="H44" s="494"/>
      <c r="I44" s="494"/>
      <c r="J44" s="495" t="s">
        <v>548</v>
      </c>
      <c r="K44" s="508" t="s">
        <v>549</v>
      </c>
      <c r="Q44" s="581" t="s">
        <v>550</v>
      </c>
      <c r="R44" s="582">
        <f>SUM(S10:S40)</f>
        <v>1350.6999999999998</v>
      </c>
    </row>
    <row r="45" spans="3:30" ht="17" customHeight="1">
      <c r="C45" s="492" t="s">
        <v>540</v>
      </c>
      <c r="D45" s="493" t="e">
        <v>#VALUE!</v>
      </c>
      <c r="E45" s="494"/>
      <c r="F45" s="494"/>
      <c r="G45" s="494"/>
      <c r="H45" s="494"/>
      <c r="I45" s="494"/>
      <c r="J45" s="495" t="s">
        <v>551</v>
      </c>
      <c r="K45" s="508" t="s">
        <v>552</v>
      </c>
      <c r="Q45" s="579" t="s">
        <v>553</v>
      </c>
      <c r="R45" s="580" t="e" vm="1">
        <f>U18+U41</f>
        <v>#VALUE!</v>
      </c>
    </row>
    <row r="46" spans="3:30" ht="17" customHeight="1">
      <c r="C46" s="492" t="s">
        <v>540</v>
      </c>
      <c r="D46" s="513" t="e">
        <v>#VALUE!</v>
      </c>
      <c r="E46" s="494"/>
      <c r="F46" s="494"/>
      <c r="G46" s="494"/>
      <c r="H46" s="494"/>
      <c r="I46" s="494"/>
      <c r="J46" s="495" t="s">
        <v>554</v>
      </c>
      <c r="K46" s="508" t="s">
        <v>555</v>
      </c>
    </row>
    <row r="47" spans="3:30" ht="17" customHeight="1">
      <c r="C47" s="492" t="s">
        <v>540</v>
      </c>
      <c r="D47" s="513" t="e">
        <v>#VALUE!</v>
      </c>
      <c r="E47" s="494"/>
      <c r="F47" s="494"/>
      <c r="G47" s="494"/>
      <c r="H47" s="494"/>
      <c r="I47" s="494"/>
      <c r="J47" s="495" t="s">
        <v>556</v>
      </c>
      <c r="K47" s="508" t="s">
        <v>557</v>
      </c>
    </row>
    <row r="48" spans="3:30" ht="17" customHeight="1">
      <c r="C48" s="492" t="s">
        <v>540</v>
      </c>
      <c r="D48" s="493" t="s">
        <v>558</v>
      </c>
      <c r="E48" s="494"/>
      <c r="F48" s="494"/>
      <c r="G48" s="494"/>
      <c r="H48" s="494"/>
      <c r="I48" s="494"/>
      <c r="J48" s="495" t="s">
        <v>559</v>
      </c>
      <c r="K48" s="508" t="s">
        <v>560</v>
      </c>
    </row>
    <row r="49" spans="3:11" ht="17" customHeight="1">
      <c r="C49" s="492" t="s">
        <v>540</v>
      </c>
      <c r="D49" s="513" t="e">
        <v>#VALUE!</v>
      </c>
      <c r="E49" s="494"/>
      <c r="F49" s="494"/>
      <c r="G49" s="494"/>
      <c r="H49" s="494"/>
      <c r="I49" s="494"/>
      <c r="J49" s="495" t="s">
        <v>561</v>
      </c>
      <c r="K49" s="508" t="s">
        <v>562</v>
      </c>
    </row>
    <row r="50" spans="3:11" ht="17" customHeight="1">
      <c r="C50" s="492" t="s">
        <v>540</v>
      </c>
      <c r="D50" s="513" t="e">
        <v>#VALUE!</v>
      </c>
      <c r="E50" s="494"/>
      <c r="F50" s="494"/>
      <c r="G50" s="494"/>
      <c r="H50" s="494"/>
      <c r="I50" s="494"/>
      <c r="J50" s="495" t="s">
        <v>563</v>
      </c>
      <c r="K50" s="508" t="s">
        <v>564</v>
      </c>
    </row>
    <row r="51" spans="3:11" ht="17" customHeight="1">
      <c r="C51" s="484" t="s">
        <v>565</v>
      </c>
      <c r="D51" s="514" t="e">
        <v>#VALUE!</v>
      </c>
      <c r="E51" s="486"/>
      <c r="F51" s="486"/>
      <c r="G51" s="486"/>
      <c r="H51" s="486"/>
      <c r="I51" s="486"/>
      <c r="J51" s="496" t="e" vm="4">
        <f t="array" ref="J51">_FV(D51,"Ticker symbol",TRUE)</f>
        <v>#VALUE!</v>
      </c>
      <c r="K51" s="506" t="s">
        <v>566</v>
      </c>
    </row>
    <row r="52" spans="3:11" ht="17" customHeight="1">
      <c r="C52" s="484" t="s">
        <v>565</v>
      </c>
      <c r="D52" s="514" t="e">
        <v>#VALUE!</v>
      </c>
      <c r="E52" s="486"/>
      <c r="F52" s="486"/>
      <c r="G52" s="486"/>
      <c r="H52" s="486"/>
      <c r="I52" s="486"/>
      <c r="J52" s="496" t="e" vm="4">
        <f t="array" ref="J52">_FV(D52,"Ticker symbol",TRUE)</f>
        <v>#VALUE!</v>
      </c>
      <c r="K52" s="506" t="s">
        <v>567</v>
      </c>
    </row>
    <row r="53" spans="3:11" ht="17" customHeight="1">
      <c r="C53" s="484" t="s">
        <v>565</v>
      </c>
      <c r="D53" s="514" t="e">
        <v>#VALUE!</v>
      </c>
      <c r="E53" s="486"/>
      <c r="F53" s="486"/>
      <c r="G53" s="486"/>
      <c r="H53" s="486"/>
      <c r="I53" s="486"/>
      <c r="J53" s="496" t="e" vm="4">
        <f t="array" ref="J53">_FV(D53,"Ticker symbol",TRUE)</f>
        <v>#VALUE!</v>
      </c>
      <c r="K53" s="506" t="s">
        <v>568</v>
      </c>
    </row>
    <row r="54" spans="3:11" ht="17" customHeight="1">
      <c r="C54" s="484" t="s">
        <v>565</v>
      </c>
      <c r="D54" s="514" t="e">
        <v>#VALUE!</v>
      </c>
      <c r="E54" s="486"/>
      <c r="F54" s="486"/>
      <c r="G54" s="486"/>
      <c r="H54" s="486"/>
      <c r="I54" s="486"/>
      <c r="J54" s="496" t="e" vm="4">
        <f t="array" ref="J54">_FV(D54,"Ticker symbol",TRUE)</f>
        <v>#VALUE!</v>
      </c>
      <c r="K54" s="506" t="s">
        <v>569</v>
      </c>
    </row>
    <row r="55" spans="3:11" ht="17" customHeight="1">
      <c r="C55" s="484" t="s">
        <v>565</v>
      </c>
      <c r="D55" s="514" t="e">
        <v>#VALUE!</v>
      </c>
      <c r="E55" s="486"/>
      <c r="F55" s="486"/>
      <c r="G55" s="486"/>
      <c r="H55" s="486"/>
      <c r="I55" s="486"/>
      <c r="J55" s="496" t="e" vm="4">
        <f t="array" ref="J55">_FV(D55,"Ticker symbol",TRUE)</f>
        <v>#VALUE!</v>
      </c>
      <c r="K55" s="506" t="s">
        <v>570</v>
      </c>
    </row>
    <row r="56" spans="3:11" ht="17" customHeight="1">
      <c r="C56" s="484" t="s">
        <v>565</v>
      </c>
      <c r="D56" s="514" t="e">
        <v>#VALUE!</v>
      </c>
      <c r="E56" s="486"/>
      <c r="F56" s="486"/>
      <c r="G56" s="486"/>
      <c r="H56" s="486"/>
      <c r="I56" s="486"/>
      <c r="J56" s="496" t="e" vm="4">
        <f t="array" ref="J56">_FV(D56,"Ticker symbol",TRUE)</f>
        <v>#VALUE!</v>
      </c>
      <c r="K56" s="506" t="s">
        <v>537</v>
      </c>
    </row>
    <row r="57" spans="3:11" ht="17" customHeight="1">
      <c r="C57" s="484" t="s">
        <v>565</v>
      </c>
      <c r="D57" s="514" t="e">
        <v>#VALUE!</v>
      </c>
      <c r="E57" s="486"/>
      <c r="F57" s="486"/>
      <c r="G57" s="486"/>
      <c r="H57" s="486"/>
      <c r="I57" s="486"/>
      <c r="J57" s="496" t="e" vm="4">
        <f t="array" ref="J57">_FV(D57,"Ticker symbol",TRUE)</f>
        <v>#VALUE!</v>
      </c>
      <c r="K57" s="506" t="s">
        <v>571</v>
      </c>
    </row>
    <row r="58" spans="3:11" ht="17" customHeight="1">
      <c r="C58" s="484" t="s">
        <v>565</v>
      </c>
      <c r="D58" s="485" t="e">
        <v>#VALUE!</v>
      </c>
      <c r="E58" s="486"/>
      <c r="F58" s="486"/>
      <c r="G58" s="486"/>
      <c r="H58" s="486"/>
      <c r="I58" s="486"/>
      <c r="J58" s="496" t="e" vm="4">
        <f t="array" ref="J58">_FV(D58,"Ticker symbol",TRUE)</f>
        <v>#VALUE!</v>
      </c>
      <c r="K58" s="506" t="s">
        <v>572</v>
      </c>
    </row>
    <row r="59" spans="3:11" ht="17" customHeight="1">
      <c r="C59" s="484" t="s">
        <v>565</v>
      </c>
      <c r="D59" s="485" t="e">
        <v>#VALUE!</v>
      </c>
      <c r="E59" s="486"/>
      <c r="F59" s="486"/>
      <c r="G59" s="486"/>
      <c r="H59" s="486"/>
      <c r="I59" s="486"/>
      <c r="J59" s="496" t="e" vm="4">
        <f t="array" ref="J59">_FV(D59,"Ticker symbol",TRUE)</f>
        <v>#VALUE!</v>
      </c>
      <c r="K59" s="506" t="s">
        <v>573</v>
      </c>
    </row>
    <row r="60" spans="3:11" ht="17" customHeight="1">
      <c r="C60" s="484" t="s">
        <v>565</v>
      </c>
      <c r="D60" s="485" t="e">
        <v>#VALUE!</v>
      </c>
      <c r="E60" s="486"/>
      <c r="F60" s="486"/>
      <c r="G60" s="486"/>
      <c r="H60" s="486"/>
      <c r="I60" s="486"/>
      <c r="J60" s="496" t="e" vm="4">
        <f t="array" ref="J60">_FV(D60,"Ticker symbol",TRUE)</f>
        <v>#VALUE!</v>
      </c>
      <c r="K60" s="506" t="s">
        <v>574</v>
      </c>
    </row>
    <row r="61" spans="3:11" ht="17" customHeight="1">
      <c r="C61" s="484" t="s">
        <v>565</v>
      </c>
      <c r="D61" s="485" t="e">
        <v>#VALUE!</v>
      </c>
      <c r="E61" s="486"/>
      <c r="F61" s="486"/>
      <c r="G61" s="486"/>
      <c r="H61" s="486"/>
      <c r="I61" s="486"/>
      <c r="J61" s="496" t="e" vm="4">
        <f t="array" ref="J61">_FV(D61,"Ticker symbol",TRUE)</f>
        <v>#VALUE!</v>
      </c>
      <c r="K61" s="506" t="s">
        <v>575</v>
      </c>
    </row>
    <row r="62" spans="3:11" ht="17" customHeight="1">
      <c r="C62" s="484" t="s">
        <v>565</v>
      </c>
      <c r="D62" s="485" t="e">
        <v>#VALUE!</v>
      </c>
      <c r="E62" s="486"/>
      <c r="F62" s="486"/>
      <c r="G62" s="486"/>
      <c r="H62" s="486"/>
      <c r="I62" s="486"/>
      <c r="J62" s="496" t="e" vm="4">
        <f t="array" ref="J62">_FV(D62,"Ticker symbol",TRUE)</f>
        <v>#VALUE!</v>
      </c>
      <c r="K62" s="506" t="s">
        <v>576</v>
      </c>
    </row>
    <row r="63" spans="3:11" ht="17" customHeight="1">
      <c r="C63" s="484" t="s">
        <v>565</v>
      </c>
      <c r="D63" s="485" t="e">
        <v>#VALUE!</v>
      </c>
      <c r="E63" s="486"/>
      <c r="F63" s="486"/>
      <c r="G63" s="486"/>
      <c r="H63" s="486"/>
      <c r="I63" s="486"/>
      <c r="J63" s="496" t="e" vm="4">
        <f t="array" ref="J63">_FV(D63,"Ticker symbol",TRUE)</f>
        <v>#VALUE!</v>
      </c>
      <c r="K63" s="506" t="s">
        <v>577</v>
      </c>
    </row>
    <row r="64" spans="3:11" ht="17" customHeight="1">
      <c r="C64" s="484" t="s">
        <v>565</v>
      </c>
      <c r="D64" s="485" t="e">
        <v>#VALUE!</v>
      </c>
      <c r="E64" s="486"/>
      <c r="F64" s="486"/>
      <c r="G64" s="486"/>
      <c r="H64" s="486"/>
      <c r="I64" s="486"/>
      <c r="J64" s="496" t="e" vm="4">
        <f t="array" ref="J64">_FV(D64,"Ticker symbol",TRUE)</f>
        <v>#VALUE!</v>
      </c>
      <c r="K64" s="506" t="s">
        <v>578</v>
      </c>
    </row>
    <row r="65" spans="2:30" ht="17" customHeight="1">
      <c r="C65" s="484" t="s">
        <v>565</v>
      </c>
      <c r="D65" s="485" t="e">
        <v>#VALUE!</v>
      </c>
      <c r="E65" s="486"/>
      <c r="F65" s="486"/>
      <c r="G65" s="486"/>
      <c r="H65" s="486"/>
      <c r="I65" s="486"/>
      <c r="J65" s="496" t="e" vm="4">
        <f t="array" ref="J65">_FV(D65,"Ticker symbol",TRUE)</f>
        <v>#VALUE!</v>
      </c>
      <c r="K65" s="506" t="s">
        <v>579</v>
      </c>
    </row>
    <row r="66" spans="2:30" ht="17" customHeight="1">
      <c r="C66" s="484" t="s">
        <v>565</v>
      </c>
      <c r="D66" s="485" t="e">
        <v>#VALUE!</v>
      </c>
      <c r="E66" s="486"/>
      <c r="F66" s="486"/>
      <c r="G66" s="486"/>
      <c r="H66" s="486"/>
      <c r="I66" s="486"/>
      <c r="J66" s="496" t="e" vm="4">
        <f t="array" ref="J66">_FV(D66,"Ticker symbol",TRUE)</f>
        <v>#VALUE!</v>
      </c>
      <c r="K66" s="506" t="s">
        <v>579</v>
      </c>
    </row>
    <row r="67" spans="2:30" ht="17" customHeight="1">
      <c r="C67" s="484" t="s">
        <v>565</v>
      </c>
      <c r="D67" s="485" t="e">
        <v>#VALUE!</v>
      </c>
      <c r="E67" s="486"/>
      <c r="F67" s="486"/>
      <c r="G67" s="486"/>
      <c r="H67" s="486"/>
      <c r="I67" s="486"/>
      <c r="J67" s="496" t="e" vm="4">
        <f t="array" ref="J67">_FV(D67,"Ticker symbol",TRUE)</f>
        <v>#VALUE!</v>
      </c>
      <c r="K67" s="506" t="s">
        <v>580</v>
      </c>
    </row>
    <row r="68" spans="2:30" ht="17" customHeight="1">
      <c r="C68" s="484" t="s">
        <v>565</v>
      </c>
      <c r="D68" s="485" t="e">
        <v>#VALUE!</v>
      </c>
      <c r="E68" s="486"/>
      <c r="F68" s="486"/>
      <c r="G68" s="486"/>
      <c r="H68" s="486"/>
      <c r="I68" s="486"/>
      <c r="J68" s="496" t="e" vm="4">
        <f t="array" ref="J68">_FV(D68,"Ticker symbol",TRUE)</f>
        <v>#VALUE!</v>
      </c>
      <c r="K68" s="506" t="s">
        <v>581</v>
      </c>
    </row>
    <row r="69" spans="2:30" ht="17" customHeight="1">
      <c r="C69" s="497" t="s">
        <v>582</v>
      </c>
      <c r="D69" s="498" t="e">
        <v>#VALUE!</v>
      </c>
      <c r="E69" s="499"/>
      <c r="F69" s="499"/>
      <c r="G69" s="499"/>
      <c r="H69" s="499"/>
      <c r="I69" s="499"/>
      <c r="J69" s="500" t="s">
        <v>583</v>
      </c>
      <c r="K69" s="509" t="s">
        <v>584</v>
      </c>
    </row>
    <row r="70" spans="2:30" ht="17" customHeight="1">
      <c r="C70" s="497" t="s">
        <v>582</v>
      </c>
      <c r="D70" s="498" t="e">
        <v>#VALUE!</v>
      </c>
      <c r="E70" s="499"/>
      <c r="F70" s="499"/>
      <c r="G70" s="499"/>
      <c r="H70" s="499"/>
      <c r="I70" s="499"/>
      <c r="J70" s="500" t="s">
        <v>585</v>
      </c>
      <c r="K70" s="509" t="s">
        <v>586</v>
      </c>
    </row>
    <row r="71" spans="2:30" ht="17" customHeight="1">
      <c r="C71" s="497" t="s">
        <v>582</v>
      </c>
      <c r="D71" s="498" t="e">
        <v>#VALUE!</v>
      </c>
      <c r="E71" s="499"/>
      <c r="F71" s="499"/>
      <c r="G71" s="499"/>
      <c r="H71" s="499"/>
      <c r="I71" s="499"/>
      <c r="J71" s="500" t="s">
        <v>587</v>
      </c>
      <c r="K71" s="509" t="s">
        <v>588</v>
      </c>
      <c r="AD71" s="464"/>
    </row>
    <row r="72" spans="2:30" ht="17" customHeight="1">
      <c r="C72" s="497" t="s">
        <v>582</v>
      </c>
      <c r="D72" s="498" t="e">
        <v>#VALUE!</v>
      </c>
      <c r="E72" s="499"/>
      <c r="F72" s="499"/>
      <c r="G72" s="499"/>
      <c r="H72" s="499"/>
      <c r="I72" s="499"/>
      <c r="J72" s="500" t="s">
        <v>589</v>
      </c>
      <c r="K72" s="509" t="s">
        <v>590</v>
      </c>
    </row>
    <row r="73" spans="2:30" ht="17" customHeight="1">
      <c r="C73" s="497" t="s">
        <v>582</v>
      </c>
      <c r="D73" s="498" t="e">
        <v>#VALUE!</v>
      </c>
      <c r="E73" s="499"/>
      <c r="F73" s="499"/>
      <c r="G73" s="499"/>
      <c r="H73" s="499"/>
      <c r="I73" s="499"/>
      <c r="J73" s="500" t="s">
        <v>591</v>
      </c>
      <c r="K73" s="509" t="s">
        <v>592</v>
      </c>
    </row>
    <row r="74" spans="2:30" ht="17" customHeight="1">
      <c r="C74" s="497" t="s">
        <v>582</v>
      </c>
      <c r="D74" s="498" t="e">
        <v>#VALUE!</v>
      </c>
      <c r="E74" s="499"/>
      <c r="F74" s="499"/>
      <c r="G74" s="499"/>
      <c r="H74" s="499"/>
      <c r="I74" s="499"/>
      <c r="J74" s="500" t="s">
        <v>593</v>
      </c>
      <c r="K74" s="509" t="s">
        <v>594</v>
      </c>
    </row>
    <row r="75" spans="2:30" ht="16" customHeight="1">
      <c r="C75" s="497" t="s">
        <v>582</v>
      </c>
      <c r="D75" s="498" t="e">
        <v>#VALUE!</v>
      </c>
      <c r="E75" s="499"/>
      <c r="F75" s="499"/>
      <c r="G75" s="499"/>
      <c r="H75" s="499"/>
      <c r="I75" s="499"/>
      <c r="J75" s="500" t="s">
        <v>595</v>
      </c>
      <c r="K75" s="509" t="s">
        <v>596</v>
      </c>
    </row>
    <row r="76" spans="2:30" ht="16" customHeight="1">
      <c r="C76" s="497" t="s">
        <v>582</v>
      </c>
      <c r="D76" s="498" t="e">
        <v>#VALUE!</v>
      </c>
      <c r="E76" s="499"/>
      <c r="F76" s="499"/>
      <c r="G76" s="499"/>
      <c r="H76" s="499"/>
      <c r="I76" s="499"/>
      <c r="J76" s="500" t="s">
        <v>597</v>
      </c>
      <c r="K76" s="509" t="s">
        <v>598</v>
      </c>
    </row>
    <row r="77" spans="2:30" ht="16" customHeight="1">
      <c r="C77" s="497" t="s">
        <v>582</v>
      </c>
      <c r="D77" s="498" t="e">
        <v>#VALUE!</v>
      </c>
      <c r="E77" s="499"/>
      <c r="F77" s="499"/>
      <c r="G77" s="499"/>
      <c r="H77" s="499"/>
      <c r="I77" s="499"/>
      <c r="J77" s="500" t="s">
        <v>599</v>
      </c>
      <c r="K77" s="509" t="s">
        <v>600</v>
      </c>
    </row>
    <row r="78" spans="2:30" ht="16" customHeight="1">
      <c r="C78" s="501" t="s">
        <v>582</v>
      </c>
      <c r="D78" s="502" t="e">
        <v>#VALUE!</v>
      </c>
      <c r="E78" s="503"/>
      <c r="F78" s="503"/>
      <c r="G78" s="503"/>
      <c r="H78" s="503"/>
      <c r="I78" s="503"/>
      <c r="J78" s="504" t="s">
        <v>601</v>
      </c>
      <c r="K78" s="510" t="s">
        <v>602</v>
      </c>
    </row>
    <row r="80" spans="2:30" s="515" customFormat="1" ht="18" customHeight="1">
      <c r="B80" s="881" t="s">
        <v>603</v>
      </c>
      <c r="C80" s="881"/>
      <c r="D80" s="881"/>
      <c r="E80" s="881"/>
      <c r="F80" s="881"/>
      <c r="G80" s="881"/>
      <c r="H80" s="881"/>
      <c r="I80" s="881"/>
      <c r="J80" s="881"/>
      <c r="K80" s="881"/>
      <c r="L80" s="881"/>
      <c r="M80" s="881"/>
      <c r="N80" s="881"/>
      <c r="O80" s="881"/>
      <c r="P80" s="881"/>
      <c r="Q80" s="881"/>
      <c r="R80" s="881"/>
      <c r="S80" s="881"/>
    </row>
    <row r="81" spans="3:6">
      <c r="D81" s="1018">
        <v>2023</v>
      </c>
      <c r="E81" s="1016"/>
      <c r="F81" s="1016"/>
    </row>
    <row r="82" spans="3:6">
      <c r="C82" s="878" t="s">
        <v>604</v>
      </c>
      <c r="D82" s="773" t="s">
        <v>605</v>
      </c>
      <c r="E82" s="773" t="s">
        <v>430</v>
      </c>
      <c r="F82" s="879" t="s">
        <v>606</v>
      </c>
    </row>
    <row r="83" spans="3:6">
      <c r="C83" t="s">
        <v>377</v>
      </c>
      <c r="D83" s="665">
        <v>13.37</v>
      </c>
      <c r="E83" s="872">
        <v>4.0099999999999997E-2</v>
      </c>
      <c r="F83" s="873">
        <v>0.60240000000000005</v>
      </c>
    </row>
    <row r="84" spans="3:6">
      <c r="C84" t="s">
        <v>330</v>
      </c>
      <c r="D84" s="665">
        <v>49.18</v>
      </c>
      <c r="E84" s="872">
        <v>0.1978</v>
      </c>
      <c r="F84" s="873">
        <v>3.73E-2</v>
      </c>
    </row>
    <row r="85" spans="3:6">
      <c r="C85" t="s">
        <v>338</v>
      </c>
      <c r="D85" s="665">
        <v>49.55</v>
      </c>
      <c r="E85" s="872">
        <v>0.23680000000000001</v>
      </c>
      <c r="F85" s="873">
        <v>0.84430000000000005</v>
      </c>
    </row>
    <row r="86" spans="3:6">
      <c r="C86" t="s">
        <v>364</v>
      </c>
      <c r="D86" s="665">
        <v>50.21</v>
      </c>
      <c r="E86" s="872">
        <v>0.25280000000000002</v>
      </c>
      <c r="F86" s="873">
        <v>-1.67E-2</v>
      </c>
    </row>
    <row r="87" spans="3:6">
      <c r="C87" t="s">
        <v>371</v>
      </c>
      <c r="D87" s="665">
        <v>26.81</v>
      </c>
      <c r="E87" s="872">
        <v>0.1084</v>
      </c>
      <c r="F87" s="873">
        <v>0.13389999999999999</v>
      </c>
    </row>
    <row r="88" spans="3:6">
      <c r="C88" t="s">
        <v>501</v>
      </c>
      <c r="D88" s="665">
        <v>49.09</v>
      </c>
      <c r="E88" s="872">
        <v>0.21970000000000001</v>
      </c>
      <c r="F88" s="873">
        <v>-8.3000000000000004E-2</v>
      </c>
    </row>
    <row r="89" spans="3:6" ht="14" customHeight="1">
      <c r="C89" s="874" t="s">
        <v>93</v>
      </c>
      <c r="D89" s="875">
        <f>SUM(D83:D88)</f>
        <v>238.21</v>
      </c>
      <c r="E89" s="876">
        <v>0.28249999999999997</v>
      </c>
      <c r="F89" s="877"/>
    </row>
    <row r="90" spans="3:6">
      <c r="D90" s="347"/>
      <c r="E90" s="347"/>
    </row>
    <row r="91" spans="3:6" ht="14" customHeight="1">
      <c r="C91" s="394" t="s">
        <v>607</v>
      </c>
      <c r="D91" s="880">
        <v>2023</v>
      </c>
      <c r="E91" s="880">
        <v>2024</v>
      </c>
    </row>
    <row r="92" spans="3:6">
      <c r="C92" t="s">
        <v>608</v>
      </c>
      <c r="D92" s="347">
        <v>6211.76</v>
      </c>
      <c r="E92" s="347"/>
    </row>
    <row r="93" spans="3:6">
      <c r="C93" s="347" t="s">
        <v>609</v>
      </c>
      <c r="D93" s="347">
        <v>64.22</v>
      </c>
      <c r="E93" s="347"/>
    </row>
    <row r="94" spans="3:6">
      <c r="C94" t="s">
        <v>610</v>
      </c>
      <c r="D94">
        <v>8.32</v>
      </c>
    </row>
    <row r="95" spans="3:6">
      <c r="C95" t="s">
        <v>611</v>
      </c>
      <c r="D95">
        <v>93.7</v>
      </c>
    </row>
    <row r="97" spans="4:13" ht="16" customHeight="1">
      <c r="F97" s="443">
        <v>2023</v>
      </c>
      <c r="G97" t="s">
        <v>612</v>
      </c>
    </row>
    <row r="98" spans="4:13">
      <c r="D98" s="751" t="s">
        <v>613</v>
      </c>
      <c r="E98" s="751" t="s">
        <v>322</v>
      </c>
      <c r="F98" s="751"/>
      <c r="G98" s="751">
        <v>1</v>
      </c>
      <c r="H98" s="751">
        <v>2</v>
      </c>
      <c r="I98" s="751">
        <v>3</v>
      </c>
      <c r="J98" s="751">
        <v>4</v>
      </c>
      <c r="K98" s="882" t="s">
        <v>86</v>
      </c>
      <c r="L98" s="751"/>
      <c r="M98" t="s">
        <v>430</v>
      </c>
    </row>
    <row r="99" spans="4:13">
      <c r="D99" t="s">
        <v>614</v>
      </c>
      <c r="E99" t="s">
        <v>615</v>
      </c>
      <c r="G99">
        <v>2.02</v>
      </c>
      <c r="H99">
        <v>12.61</v>
      </c>
      <c r="I99">
        <v>10.55</v>
      </c>
      <c r="J99">
        <v>4.07</v>
      </c>
      <c r="K99" s="883">
        <f t="shared" ref="K99:K111" si="5">SUM(G99:J99)</f>
        <v>29.25</v>
      </c>
      <c r="M99">
        <f t="shared" ref="M99:M111" si="6">K99/$K$113</f>
        <v>0.25866643084541918</v>
      </c>
    </row>
    <row r="100" spans="4:13">
      <c r="D100" t="s">
        <v>616</v>
      </c>
      <c r="E100" t="s">
        <v>617</v>
      </c>
      <c r="G100">
        <v>0.8</v>
      </c>
      <c r="H100">
        <v>0.91</v>
      </c>
      <c r="I100">
        <v>2.46</v>
      </c>
      <c r="K100" s="883">
        <f t="shared" si="5"/>
        <v>4.17</v>
      </c>
      <c r="M100">
        <f t="shared" si="6"/>
        <v>3.6876547576936688E-2</v>
      </c>
    </row>
    <row r="101" spans="4:13">
      <c r="D101" t="s">
        <v>616</v>
      </c>
      <c r="E101" t="s">
        <v>618</v>
      </c>
      <c r="G101">
        <v>0.85</v>
      </c>
      <c r="H101">
        <v>0.85</v>
      </c>
      <c r="I101">
        <v>0.85</v>
      </c>
      <c r="K101" s="883">
        <f t="shared" si="5"/>
        <v>2.5499999999999998</v>
      </c>
      <c r="M101">
        <f t="shared" si="6"/>
        <v>2.255040679165193E-2</v>
      </c>
    </row>
    <row r="102" spans="4:13">
      <c r="D102" t="s">
        <v>619</v>
      </c>
      <c r="E102" t="s">
        <v>620</v>
      </c>
      <c r="G102">
        <v>1.35</v>
      </c>
      <c r="H102">
        <v>6.16</v>
      </c>
      <c r="I102">
        <v>8.08</v>
      </c>
      <c r="J102">
        <v>7.46</v>
      </c>
      <c r="K102" s="883">
        <f t="shared" si="5"/>
        <v>23.05</v>
      </c>
      <c r="M102">
        <f t="shared" si="6"/>
        <v>0.20383799080297138</v>
      </c>
    </row>
    <row r="103" spans="4:13">
      <c r="D103" t="s">
        <v>619</v>
      </c>
      <c r="E103" t="s">
        <v>621</v>
      </c>
      <c r="G103">
        <v>2.89</v>
      </c>
      <c r="H103">
        <v>3.46</v>
      </c>
      <c r="I103">
        <v>3.78</v>
      </c>
      <c r="K103" s="883">
        <f t="shared" si="5"/>
        <v>10.129999999999999</v>
      </c>
      <c r="M103">
        <f t="shared" si="6"/>
        <v>8.9582596391934916E-2</v>
      </c>
    </row>
    <row r="104" spans="4:13">
      <c r="D104" t="s">
        <v>619</v>
      </c>
      <c r="E104" t="s">
        <v>622</v>
      </c>
      <c r="G104">
        <v>3.46</v>
      </c>
      <c r="K104" s="883">
        <f t="shared" si="5"/>
        <v>3.46</v>
      </c>
      <c r="M104">
        <f t="shared" si="6"/>
        <v>3.0597806862398307E-2</v>
      </c>
    </row>
    <row r="105" spans="4:13">
      <c r="D105" t="s">
        <v>623</v>
      </c>
      <c r="E105" t="s">
        <v>506</v>
      </c>
      <c r="G105">
        <v>0.51</v>
      </c>
      <c r="H105">
        <v>2.5299999999999998</v>
      </c>
      <c r="I105">
        <v>2.62</v>
      </c>
      <c r="K105" s="883">
        <f t="shared" si="5"/>
        <v>5.66</v>
      </c>
      <c r="M105">
        <f t="shared" si="6"/>
        <v>5.0053059780686249E-2</v>
      </c>
    </row>
    <row r="106" spans="4:13">
      <c r="D106" t="s">
        <v>623</v>
      </c>
      <c r="E106" t="s">
        <v>624</v>
      </c>
      <c r="G106">
        <v>0.53</v>
      </c>
      <c r="H106">
        <v>2.62</v>
      </c>
      <c r="I106">
        <v>2.74</v>
      </c>
      <c r="K106" s="883">
        <f t="shared" si="5"/>
        <v>5.8900000000000006</v>
      </c>
      <c r="M106">
        <f t="shared" si="6"/>
        <v>5.2087018040325443E-2</v>
      </c>
    </row>
    <row r="107" spans="4:13">
      <c r="D107" t="s">
        <v>623</v>
      </c>
      <c r="E107" t="s">
        <v>625</v>
      </c>
      <c r="G107">
        <v>0.23</v>
      </c>
      <c r="H107">
        <v>1.1599999999999999</v>
      </c>
      <c r="I107">
        <v>1.1499999999999999</v>
      </c>
      <c r="K107" s="883">
        <f t="shared" si="5"/>
        <v>2.54</v>
      </c>
      <c r="M107">
        <f t="shared" si="6"/>
        <v>2.2461973823841533E-2</v>
      </c>
    </row>
    <row r="108" spans="4:13">
      <c r="D108" t="s">
        <v>623</v>
      </c>
      <c r="E108" t="s">
        <v>626</v>
      </c>
      <c r="G108">
        <v>1.1000000000000001</v>
      </c>
      <c r="H108">
        <v>1.1299999999999999</v>
      </c>
      <c r="I108">
        <v>1.0900000000000001</v>
      </c>
      <c r="K108" s="883">
        <f t="shared" si="5"/>
        <v>3.3200000000000003</v>
      </c>
      <c r="M108">
        <f t="shared" si="6"/>
        <v>2.9359745313052712E-2</v>
      </c>
    </row>
    <row r="109" spans="4:13">
      <c r="D109" t="s">
        <v>623</v>
      </c>
      <c r="E109" t="s">
        <v>516</v>
      </c>
      <c r="G109">
        <v>1.04</v>
      </c>
      <c r="H109">
        <v>1.04</v>
      </c>
      <c r="I109">
        <v>2.84</v>
      </c>
      <c r="J109">
        <v>4.22</v>
      </c>
      <c r="K109" s="883">
        <f t="shared" si="5"/>
        <v>9.14</v>
      </c>
      <c r="M109">
        <f t="shared" si="6"/>
        <v>8.0827732578705361E-2</v>
      </c>
    </row>
    <row r="110" spans="4:13">
      <c r="D110" t="s">
        <v>623</v>
      </c>
      <c r="E110" t="s">
        <v>627</v>
      </c>
      <c r="G110">
        <v>1.79</v>
      </c>
      <c r="H110">
        <v>1.78</v>
      </c>
      <c r="I110">
        <v>5.01</v>
      </c>
      <c r="K110" s="883">
        <f t="shared" si="5"/>
        <v>8.58</v>
      </c>
      <c r="M110">
        <f t="shared" si="6"/>
        <v>7.5875486381322965E-2</v>
      </c>
    </row>
    <row r="111" spans="4:13">
      <c r="D111" t="s">
        <v>623</v>
      </c>
      <c r="E111" t="s">
        <v>628</v>
      </c>
      <c r="G111">
        <v>0.89</v>
      </c>
      <c r="H111">
        <v>2.23</v>
      </c>
      <c r="I111">
        <v>2.2200000000000002</v>
      </c>
      <c r="K111" s="883">
        <f t="shared" si="5"/>
        <v>5.34</v>
      </c>
      <c r="M111">
        <f t="shared" si="6"/>
        <v>4.7223204810753455E-2</v>
      </c>
    </row>
    <row r="113" spans="10:12" ht="16" customHeight="1">
      <c r="J113" s="751" t="s">
        <v>86</v>
      </c>
      <c r="K113" s="1019">
        <f>SUM(K99:K112)</f>
        <v>113.07999999999998</v>
      </c>
      <c r="L113" s="1020"/>
    </row>
  </sheetData>
  <mergeCells count="2">
    <mergeCell ref="D81:F81"/>
    <mergeCell ref="K113:L113"/>
  </mergeCells>
  <conditionalFormatting sqref="S10:S17 S19 S21:S38">
    <cfRule type="top10" dxfId="22" priority="3" rank="5"/>
    <cfRule type="top10" dxfId="21" priority="4" rank="5"/>
    <cfRule type="colorScale" priority="7">
      <colorScale>
        <cfvo type="min"/>
        <cfvo type="max"/>
        <color rgb="FFFCFCFF"/>
        <color rgb="FF63BE7B"/>
      </colorScale>
    </cfRule>
  </conditionalFormatting>
  <conditionalFormatting sqref="U10:U17 U19 U21:U3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max"/>
        <color rgb="FFFFEF9C"/>
        <color rgb="FF63BE7B"/>
      </colorScale>
    </cfRule>
  </conditionalFormatting>
  <conditionalFormatting sqref="W10:W16">
    <cfRule type="dataBar" priority="1">
      <dataBar>
        <cfvo type="min"/>
        <cfvo type="max"/>
        <color rgb="FFFFB628"/>
      </dataBar>
    </cfRule>
  </conditionalFormatting>
  <conditionalFormatting sqref="W21:W38">
    <cfRule type="dataBar" priority="143">
      <dataBar>
        <cfvo type="min"/>
        <cfvo type="max"/>
        <color rgb="FF63C384"/>
      </dataBar>
    </cfRule>
  </conditionalFormatting>
  <hyperlinks>
    <hyperlink ref="C3" r:id="rId1" xr:uid="{00000000-0004-0000-0700-000000000000}"/>
    <hyperlink ref="C4" r:id="rId2" xr:uid="{00000000-0004-0000-0700-000001000000}"/>
    <hyperlink ref="J13" r:id="rId3" display="https://finance.yahoo.com/quote/XDWD.IR?p=XDWD.IR" xr:uid="{00000000-0004-0000-0700-000002000000}"/>
    <hyperlink ref="J14" r:id="rId4" display="https://finance.yahoo.com/quote/IWDA?p=IWDA" xr:uid="{00000000-0004-0000-0700-000003000000}"/>
    <hyperlink ref="J15" r:id="rId5" display="https://finance.yahoo.com/quote/LWCR.IR?p=LWCR.IR" xr:uid="{00000000-0004-0000-0700-000004000000}"/>
    <hyperlink ref="J17" r:id="rId6" display="https://finance.yahoo.com/quote/XZW0?p=XZW0" xr:uid="{00000000-0004-0000-0700-000005000000}"/>
    <hyperlink ref="J18" r:id="rId7" display="https://finance.yahoo.com/quote/JPEA?p=JPEA" xr:uid="{00000000-0004-0000-0700-000006000000}"/>
    <hyperlink ref="J31" r:id="rId8" display="https://finance.yahoo.com/quote/NESN?p=NESN" xr:uid="{00000000-0004-0000-0700-000007000000}"/>
    <hyperlink ref="J32" r:id="rId9" display="https://finance.yahoo.com/quote/ASML?p=ASML" xr:uid="{00000000-0004-0000-0700-000008000000}"/>
    <hyperlink ref="J33" r:id="rId10" display="https://finance.yahoo.com/quote/ROG?p=ROG" xr:uid="{00000000-0004-0000-0700-000009000000}"/>
    <hyperlink ref="J34" r:id="rId11" display="https://finance.yahoo.com/quote/NOVN?p=NOVN" xr:uid="{00000000-0004-0000-0700-00000A000000}"/>
    <hyperlink ref="J35" r:id="rId12" display="https://finance.yahoo.com/quote/MC.PA?p=MC.PA" xr:uid="{00000000-0004-0000-0700-00000B000000}"/>
    <hyperlink ref="J36" r:id="rId13" display="https://finance.yahoo.com/quote/AZN.L?p=AZN.L" xr:uid="{00000000-0004-0000-0700-00000C000000}"/>
    <hyperlink ref="J37" r:id="rId14" display="https://finance.yahoo.com/quote/SAP.DE?p=SAP.DE" xr:uid="{00000000-0004-0000-0700-00000D000000}"/>
    <hyperlink ref="J38" r:id="rId15" display="https://finance.yahoo.com/quote/ULVR.L?p=ULVR.L" xr:uid="{00000000-0004-0000-0700-00000E000000}"/>
    <hyperlink ref="J39" r:id="rId16" display="https://finance.yahoo.com/quote/LIN.L?p=LIN.L" xr:uid="{00000000-0004-0000-0700-00000F000000}"/>
    <hyperlink ref="J40" r:id="rId17" display="https://finance.yahoo.com/quote/NOVO B?p=NOVO%20B" xr:uid="{00000000-0004-0000-0700-000010000000}"/>
    <hyperlink ref="J41" r:id="rId18" display="https://finance.yahoo.com/quote/IRM?p=IRM" xr:uid="{00000000-0004-0000-0700-000011000000}"/>
    <hyperlink ref="J42" r:id="rId19" display="https://finance.yahoo.com/quote/XOM?p=XOM" xr:uid="{00000000-0004-0000-0700-000012000000}"/>
    <hyperlink ref="J43" r:id="rId20" display="https://finance.yahoo.com/quote/LUMN?p=LUMN" xr:uid="{00000000-0004-0000-0700-000013000000}"/>
    <hyperlink ref="J44" r:id="rId21" display="https://finance.yahoo.com/quote/KMI?p=KMI" xr:uid="{00000000-0004-0000-0700-000014000000}"/>
    <hyperlink ref="J45" r:id="rId22" display="https://finance.yahoo.com/quote/MO?p=MO" xr:uid="{00000000-0004-0000-0700-000015000000}"/>
    <hyperlink ref="J46" r:id="rId23" display="https://finance.yahoo.com/quote/PM?p=PM" xr:uid="{00000000-0004-0000-0700-000016000000}"/>
    <hyperlink ref="J47" r:id="rId24" display="https://finance.yahoo.com/quote/CVX?p=CVX" xr:uid="{00000000-0004-0000-0700-000017000000}"/>
    <hyperlink ref="J48" r:id="rId25" display="https://finance.yahoo.com/quote/PBCT?p=PBCT" xr:uid="{00000000-0004-0000-0700-000018000000}"/>
    <hyperlink ref="J49" r:id="rId26" display="https://finance.yahoo.com/quote/T?p=T" xr:uid="{00000000-0004-0000-0700-000019000000}"/>
    <hyperlink ref="J50" r:id="rId27" display="https://finance.yahoo.com/quote/IBM?p=IBM" xr:uid="{00000000-0004-0000-0700-00001A000000}"/>
    <hyperlink ref="J69" r:id="rId28" display="https://finance.yahoo.com/quote/PLD?p=PLD" xr:uid="{00000000-0004-0000-0700-00001B000000}"/>
    <hyperlink ref="J70" r:id="rId29" display="https://finance.yahoo.com/quote/PSA?p=PSA" xr:uid="{00000000-0004-0000-0700-00001C000000}"/>
    <hyperlink ref="J71" r:id="rId30" display="https://finance.yahoo.com/quote/SPG?p=SPG" xr:uid="{00000000-0004-0000-0700-00001D000000}"/>
    <hyperlink ref="J72" r:id="rId31" display="https://finance.yahoo.com/quote/DLR?p=DLR" xr:uid="{00000000-0004-0000-0700-00001E000000}"/>
    <hyperlink ref="J73" r:id="rId32" display="https://finance.yahoo.com/quote/VNA.DE?p=VNA.DE" xr:uid="{00000000-0004-0000-0700-00001F000000}"/>
    <hyperlink ref="J74" r:id="rId33" display="https://finance.yahoo.com/quote/WELL?p=WELL" xr:uid="{00000000-0004-0000-0700-000020000000}"/>
    <hyperlink ref="J75" r:id="rId34" display="https://finance.yahoo.com/quote/AVB?p=AVB" xr:uid="{00000000-0004-0000-0700-000021000000}"/>
    <hyperlink ref="J76" r:id="rId35" display="https://finance.yahoo.com/quote/EQR?p=EQR" xr:uid="{00000000-0004-0000-0700-000022000000}"/>
    <hyperlink ref="J77" r:id="rId36" display="https://finance.yahoo.com/quote/ARE?p=ARE" xr:uid="{00000000-0004-0000-0700-000023000000}"/>
    <hyperlink ref="J78" r:id="rId37" display="https://finance.yahoo.com/quote/O?p=O" xr:uid="{00000000-0004-0000-0700-000024000000}"/>
  </hyperlinks>
  <pageMargins left="0.75" right="0.75" top="1" bottom="1" header="0.51180555555555496" footer="0.51180555555555496"/>
  <pageSetup paperSize="9" firstPageNumber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D160"/>
  <sheetViews>
    <sheetView showGridLines="0" topLeftCell="E59" zoomScale="110" zoomScaleNormal="110" workbookViewId="0">
      <selection activeCell="X35" sqref="X35"/>
    </sheetView>
  </sheetViews>
  <sheetFormatPr baseColWidth="10" defaultColWidth="11.5" defaultRowHeight="12.75" customHeight="1"/>
  <cols>
    <col min="1" max="1" width="3.33203125" customWidth="1"/>
    <col min="2" max="2" width="6.6640625" customWidth="1"/>
    <col min="3" max="3" width="5.1640625" customWidth="1"/>
    <col min="4" max="4" width="9.6640625" bestFit="1" customWidth="1"/>
    <col min="5" max="5" width="63.5" style="462" customWidth="1"/>
    <col min="6" max="6" width="13" customWidth="1"/>
    <col min="7" max="7" width="9.5" style="347" bestFit="1" customWidth="1"/>
    <col min="8" max="8" width="9" bestFit="1" customWidth="1"/>
    <col min="9" max="9" width="11.5" style="254" customWidth="1"/>
    <col min="10" max="10" width="14.33203125" bestFit="1" customWidth="1"/>
    <col min="11" max="11" width="11" bestFit="1" customWidth="1"/>
    <col min="12" max="12" width="5.33203125" bestFit="1" customWidth="1"/>
    <col min="13" max="13" width="2.5" bestFit="1" customWidth="1"/>
    <col min="14" max="14" width="8" bestFit="1" customWidth="1"/>
    <col min="15" max="15" width="9.5" bestFit="1" customWidth="1"/>
    <col min="16" max="16" width="10.6640625" bestFit="1" customWidth="1"/>
    <col min="17" max="17" width="10.6640625" customWidth="1"/>
    <col min="18" max="18" width="8.1640625" customWidth="1"/>
    <col min="19" max="29" width="7.83203125" style="535" customWidth="1"/>
    <col min="30" max="30" width="7.83203125" customWidth="1"/>
  </cols>
  <sheetData>
    <row r="3" spans="3:29" ht="30" customHeight="1">
      <c r="C3" s="990" t="s">
        <v>629</v>
      </c>
    </row>
    <row r="6" spans="3:29" s="521" customFormat="1" ht="53.25" customHeight="1">
      <c r="D6" s="559" t="s">
        <v>425</v>
      </c>
      <c r="E6" s="585" t="s">
        <v>426</v>
      </c>
      <c r="F6" s="523"/>
      <c r="G6" s="572" t="s">
        <v>630</v>
      </c>
      <c r="H6" s="522" t="s">
        <v>427</v>
      </c>
      <c r="I6" s="524" t="s">
        <v>631</v>
      </c>
      <c r="J6" s="525" t="s">
        <v>93</v>
      </c>
      <c r="K6" s="551" t="s">
        <v>632</v>
      </c>
      <c r="L6" s="747" t="s">
        <v>633</v>
      </c>
      <c r="M6" s="551" t="s">
        <v>634</v>
      </c>
      <c r="N6" s="524" t="s">
        <v>635</v>
      </c>
      <c r="O6" s="534">
        <v>2023</v>
      </c>
      <c r="P6" s="784">
        <v>2024</v>
      </c>
      <c r="Q6" s="534">
        <v>2025</v>
      </c>
      <c r="R6" s="784">
        <v>2026</v>
      </c>
      <c r="T6" s="561"/>
      <c r="U6" s="561"/>
      <c r="V6" s="561"/>
      <c r="W6" s="561"/>
      <c r="X6" s="561"/>
      <c r="Y6" s="561"/>
      <c r="Z6" s="561"/>
      <c r="AA6" s="561"/>
      <c r="AB6" s="561"/>
      <c r="AC6" s="561"/>
    </row>
    <row r="7" spans="3:29" ht="7.5" customHeight="1"/>
    <row r="8" spans="3:29" ht="14" customHeight="1">
      <c r="C8" s="560">
        <v>1</v>
      </c>
      <c r="D8" s="752" t="e" vm="4">
        <f t="array" ref="D8">_FV(E8,"Ticker symbol",TRUE)</f>
        <v>#VALUE!</v>
      </c>
      <c r="E8" s="598" t="e">
        <v>#VALUE!</v>
      </c>
      <c r="F8" s="602" t="s">
        <v>636</v>
      </c>
      <c r="G8" s="754" t="s">
        <v>637</v>
      </c>
      <c r="H8" s="601">
        <v>30</v>
      </c>
      <c r="I8" s="536" t="e" vm="3">
        <f t="array" ref="I8">_FV(E8,"Price")</f>
        <v>#VALUE!</v>
      </c>
      <c r="J8" s="606" t="e" vm="1">
        <f t="shared" ref="J8:J24" si="0">H8*I8</f>
        <v>#VALUE!</v>
      </c>
      <c r="K8" s="541">
        <v>1</v>
      </c>
      <c r="L8" s="541" t="str">
        <f t="shared" ref="L8:L19" si="1">IF(H8&gt;0,"YES","NO")</f>
        <v>YES</v>
      </c>
      <c r="M8" s="541">
        <v>1</v>
      </c>
      <c r="N8" s="542">
        <v>45200</v>
      </c>
      <c r="O8" s="543"/>
      <c r="P8" s="785">
        <f>G94</f>
        <v>1.43</v>
      </c>
      <c r="Q8" s="543">
        <f>G126</f>
        <v>37.42</v>
      </c>
      <c r="R8" s="785">
        <f>G156</f>
        <v>9.4499999999999993</v>
      </c>
      <c r="S8" s="960" t="e">
        <v>#VALUE!</v>
      </c>
    </row>
    <row r="9" spans="3:29" ht="14" customHeight="1">
      <c r="C9" s="560">
        <v>2</v>
      </c>
      <c r="D9" s="752" t="e" vm="4">
        <f t="array" ref="D9">_FV(E9,"Ticker symbol",TRUE)</f>
        <v>#VALUE!</v>
      </c>
      <c r="E9" s="598" t="e">
        <v>#VALUE!</v>
      </c>
      <c r="F9" s="599" t="s">
        <v>638</v>
      </c>
      <c r="G9" s="600" t="s">
        <v>90</v>
      </c>
      <c r="H9" s="601">
        <v>25</v>
      </c>
      <c r="I9" s="536" t="e" vm="3">
        <f t="array" ref="I9">_FV(E9,"Price")</f>
        <v>#VALUE!</v>
      </c>
      <c r="J9" s="606" t="e" vm="1">
        <f t="shared" si="0"/>
        <v>#VALUE!</v>
      </c>
      <c r="K9" s="541">
        <v>0.28000000000000003</v>
      </c>
      <c r="L9" s="541" t="str">
        <f t="shared" si="1"/>
        <v>YES</v>
      </c>
      <c r="M9" s="541">
        <v>1</v>
      </c>
      <c r="N9" s="542">
        <v>44986</v>
      </c>
      <c r="O9" s="543">
        <f>G48</f>
        <v>5.66</v>
      </c>
      <c r="P9" s="785">
        <f>G79</f>
        <v>9.17</v>
      </c>
      <c r="Q9" s="543">
        <f>G110</f>
        <v>11.14</v>
      </c>
      <c r="R9" s="785">
        <f>G140</f>
        <v>4.8600000000000003</v>
      </c>
      <c r="S9" s="896" t="e">
        <v>#VALUE!</v>
      </c>
    </row>
    <row r="10" spans="3:29" ht="14" customHeight="1">
      <c r="C10" s="560">
        <v>3</v>
      </c>
      <c r="D10" s="752" t="e" vm="4">
        <f t="array" ref="D10">_FV(E10,"Ticker symbol",TRUE)</f>
        <v>#VALUE!</v>
      </c>
      <c r="E10" s="598" t="e">
        <v>#VALUE!</v>
      </c>
      <c r="F10" s="599" t="s">
        <v>638</v>
      </c>
      <c r="G10" s="600" t="s">
        <v>90</v>
      </c>
      <c r="H10" s="601">
        <v>25</v>
      </c>
      <c r="I10" s="536" t="e" vm="3">
        <f t="array" ref="I10">_FV(E10,"Price")</f>
        <v>#VALUE!</v>
      </c>
      <c r="J10" s="606" t="e" vm="1">
        <f t="shared" si="0"/>
        <v>#VALUE!</v>
      </c>
      <c r="K10" s="541">
        <v>0.28999999999999998</v>
      </c>
      <c r="L10" s="541" t="str">
        <f t="shared" si="1"/>
        <v>YES</v>
      </c>
      <c r="M10" s="541">
        <v>1</v>
      </c>
      <c r="N10" s="542">
        <v>45017</v>
      </c>
      <c r="O10" s="543">
        <f>SUM(H56:V56)</f>
        <v>5.8900000000000006</v>
      </c>
      <c r="P10" s="785">
        <f>G87</f>
        <v>9.98</v>
      </c>
      <c r="Q10" s="543">
        <f>G118</f>
        <v>14.08</v>
      </c>
      <c r="R10" s="785">
        <f>G148</f>
        <v>5.77</v>
      </c>
      <c r="S10" s="896" t="e">
        <v>#VALUE!</v>
      </c>
    </row>
    <row r="11" spans="3:29" ht="14" customHeight="1">
      <c r="C11" s="560">
        <v>4</v>
      </c>
      <c r="D11" s="752" t="e" vm="4">
        <f t="array" ref="D11">_FV(E11,"Ticker symbol",TRUE)</f>
        <v>#VALUE!</v>
      </c>
      <c r="E11" s="598" t="e">
        <v>#VALUE!</v>
      </c>
      <c r="F11" s="602" t="s">
        <v>636</v>
      </c>
      <c r="G11" s="746" t="s">
        <v>637</v>
      </c>
      <c r="H11" s="601">
        <v>45</v>
      </c>
      <c r="I11" s="536" t="e" vm="3">
        <f t="array" ref="I11">_FV(E11,"Price")</f>
        <v>#VALUE!</v>
      </c>
      <c r="J11" s="606" t="e" vm="1">
        <f t="shared" si="0"/>
        <v>#VALUE!</v>
      </c>
      <c r="K11" s="541">
        <v>1.6</v>
      </c>
      <c r="L11" s="541" t="str">
        <f t="shared" si="1"/>
        <v>YES</v>
      </c>
      <c r="M11" s="541">
        <v>1</v>
      </c>
      <c r="N11" s="542">
        <v>44986</v>
      </c>
      <c r="O11" s="543">
        <f>SUM(H57:V57)</f>
        <v>1.8</v>
      </c>
      <c r="P11" s="785">
        <f>G89</f>
        <v>158.97</v>
      </c>
      <c r="Q11" s="543">
        <f>G121</f>
        <v>102</v>
      </c>
      <c r="R11" s="785">
        <f>G151</f>
        <v>0</v>
      </c>
      <c r="S11" s="960" t="e">
        <v>#VALUE!</v>
      </c>
    </row>
    <row r="12" spans="3:29" s="74" customFormat="1" ht="14" customHeight="1">
      <c r="C12" s="560">
        <v>5</v>
      </c>
      <c r="D12" s="752" t="s">
        <v>639</v>
      </c>
      <c r="E12" s="598" t="e">
        <v>#VALUE!</v>
      </c>
      <c r="F12" s="599" t="s">
        <v>640</v>
      </c>
      <c r="G12" s="746" t="s">
        <v>637</v>
      </c>
      <c r="H12" s="601">
        <v>50</v>
      </c>
      <c r="I12" s="536" t="e" vm="3">
        <f t="array" ref="I12">_FV(E12,"Price")</f>
        <v>#VALUE!</v>
      </c>
      <c r="J12" s="606" t="e" vm="1">
        <f t="shared" si="0"/>
        <v>#VALUE!</v>
      </c>
      <c r="K12" s="541">
        <v>1.4</v>
      </c>
      <c r="L12" s="541" t="str">
        <f t="shared" si="1"/>
        <v>YES</v>
      </c>
      <c r="M12" s="541">
        <v>1</v>
      </c>
      <c r="N12" s="590">
        <v>44986</v>
      </c>
      <c r="O12" s="591">
        <f>SUM(H59:V59)</f>
        <v>2.76</v>
      </c>
      <c r="P12" s="786">
        <f>G91</f>
        <v>28.68</v>
      </c>
      <c r="Q12" s="591">
        <f>G123</f>
        <v>52.9</v>
      </c>
      <c r="R12" s="786">
        <f>G153</f>
        <v>60.75</v>
      </c>
      <c r="S12" s="960" t="e">
        <v>#VALUE!</v>
      </c>
      <c r="T12" s="535"/>
      <c r="U12" s="535"/>
      <c r="V12" s="535"/>
      <c r="W12" s="535"/>
      <c r="X12" s="535"/>
      <c r="Y12" s="535"/>
      <c r="Z12" s="535"/>
      <c r="AA12" s="535"/>
      <c r="AB12" s="535"/>
      <c r="AC12" s="535"/>
    </row>
    <row r="13" spans="3:29" ht="14" customHeight="1">
      <c r="C13" s="560">
        <v>6</v>
      </c>
      <c r="D13" s="752" t="e" vm="4">
        <f t="array" ref="D13">_FV(E13,"Ticker symbol",TRUE)</f>
        <v>#VALUE!</v>
      </c>
      <c r="E13" s="598" t="e">
        <v>#VALUE!</v>
      </c>
      <c r="F13" s="604" t="s">
        <v>641</v>
      </c>
      <c r="G13" s="600" t="s">
        <v>637</v>
      </c>
      <c r="H13" s="601">
        <v>50</v>
      </c>
      <c r="I13" s="536" t="e" vm="3">
        <f t="array" ref="I13">_FV(E13,"Price")</f>
        <v>#VALUE!</v>
      </c>
      <c r="J13" s="606" t="e" vm="1">
        <f t="shared" si="0"/>
        <v>#VALUE!</v>
      </c>
      <c r="K13" s="541">
        <v>1.25</v>
      </c>
      <c r="L13" s="541" t="str">
        <f t="shared" si="1"/>
        <v>YES</v>
      </c>
      <c r="M13" s="541">
        <v>1</v>
      </c>
      <c r="N13" s="542">
        <v>44986</v>
      </c>
      <c r="O13" s="543">
        <f>SUM(H58:V58)</f>
        <v>14.4</v>
      </c>
      <c r="P13" s="785">
        <f>G90</f>
        <v>32.659999999999997</v>
      </c>
      <c r="Q13" s="543">
        <f>G122</f>
        <v>33</v>
      </c>
      <c r="R13" s="785">
        <f>G152</f>
        <v>0</v>
      </c>
      <c r="S13" s="960" t="e">
        <v>#VALUE!</v>
      </c>
    </row>
    <row r="14" spans="3:29" ht="14" customHeight="1">
      <c r="C14" s="560">
        <v>7</v>
      </c>
      <c r="D14" s="752" t="e" vm="4">
        <f t="array" ref="D14">_FV(E14,"Ticker symbol",TRUE)</f>
        <v>#VALUE!</v>
      </c>
      <c r="E14" s="598" t="e">
        <v>#VALUE!</v>
      </c>
      <c r="F14" s="599" t="s">
        <v>642</v>
      </c>
      <c r="G14" s="746" t="s">
        <v>637</v>
      </c>
      <c r="H14" s="601">
        <v>51</v>
      </c>
      <c r="I14" s="536" t="e" vm="3">
        <f t="array" ref="I14">_FV(E14,"Price")</f>
        <v>#VALUE!</v>
      </c>
      <c r="J14" s="606" t="e" vm="1">
        <f t="shared" si="0"/>
        <v>#VALUE!</v>
      </c>
      <c r="K14" s="541">
        <v>0.32</v>
      </c>
      <c r="L14" s="541" t="str">
        <f t="shared" si="1"/>
        <v>YES</v>
      </c>
      <c r="M14" s="541">
        <v>1</v>
      </c>
      <c r="N14" s="542">
        <v>45108</v>
      </c>
      <c r="O14" s="543">
        <f>SUM(H61:V61)</f>
        <v>0</v>
      </c>
      <c r="P14" s="785">
        <f>G93</f>
        <v>1.1299999999999999</v>
      </c>
      <c r="Q14" s="543">
        <f>G125</f>
        <v>3.51</v>
      </c>
      <c r="R14" s="785">
        <f>G155</f>
        <v>8.3800000000000008</v>
      </c>
      <c r="S14" s="960" t="e">
        <v>#VALUE!</v>
      </c>
    </row>
    <row r="15" spans="3:29" ht="14" customHeight="1">
      <c r="C15" s="560">
        <v>8</v>
      </c>
      <c r="D15" s="752" t="e" vm="4">
        <f t="array" ref="D15">_FV(E15,"Ticker symbol",TRUE)</f>
        <v>#VALUE!</v>
      </c>
      <c r="E15" s="598" t="e">
        <v>#VALUE!</v>
      </c>
      <c r="F15" s="599" t="s">
        <v>643</v>
      </c>
      <c r="G15" s="600" t="s">
        <v>90</v>
      </c>
      <c r="H15" s="601">
        <v>20</v>
      </c>
      <c r="I15" s="536" t="e" vm="3">
        <f t="array" ref="I15">_FV(E15,"Price")</f>
        <v>#VALUE!</v>
      </c>
      <c r="J15" s="606" t="e" vm="1">
        <f t="shared" si="0"/>
        <v>#VALUE!</v>
      </c>
      <c r="K15" s="541">
        <v>0.12</v>
      </c>
      <c r="L15" s="541" t="str">
        <f t="shared" si="1"/>
        <v>YES</v>
      </c>
      <c r="M15" s="541">
        <v>1</v>
      </c>
      <c r="N15" s="542">
        <v>44986</v>
      </c>
      <c r="O15" s="543">
        <f>SUM(H49:V49)</f>
        <v>2.54</v>
      </c>
      <c r="P15" s="785">
        <f>G80</f>
        <v>3.19</v>
      </c>
      <c r="Q15" s="543">
        <f>G111</f>
        <v>0</v>
      </c>
      <c r="R15" s="785">
        <f>G141</f>
        <v>0</v>
      </c>
      <c r="S15" s="896" t="e">
        <v>#VALUE!</v>
      </c>
    </row>
    <row r="16" spans="3:29" ht="14" customHeight="1">
      <c r="C16" s="560">
        <v>9</v>
      </c>
      <c r="D16" s="752" t="e" vm="4">
        <f t="array" ref="D16">_FV(E16,"Ticker symbol",TRUE)</f>
        <v>#VALUE!</v>
      </c>
      <c r="E16" s="598" t="e">
        <v>#VALUE!</v>
      </c>
      <c r="F16" s="604" t="s">
        <v>644</v>
      </c>
      <c r="G16" s="600" t="s">
        <v>90</v>
      </c>
      <c r="H16" s="601">
        <v>25</v>
      </c>
      <c r="I16" s="536" t="e" vm="3">
        <f t="array" ref="I16">_FV(E16,"Price")</f>
        <v>#VALUE!</v>
      </c>
      <c r="J16" s="606" t="e" vm="1">
        <f t="shared" si="0"/>
        <v>#VALUE!</v>
      </c>
      <c r="K16" s="541">
        <v>0.4</v>
      </c>
      <c r="L16" s="541" t="str">
        <f t="shared" si="1"/>
        <v>YES</v>
      </c>
      <c r="M16" s="541">
        <v>1</v>
      </c>
      <c r="N16" s="542">
        <v>45017</v>
      </c>
      <c r="O16" s="543">
        <f>SUM(H50:V50)</f>
        <v>3.3200000000000003</v>
      </c>
      <c r="P16" s="785">
        <f>G81</f>
        <v>16.71</v>
      </c>
      <c r="Q16" s="543">
        <f>G112</f>
        <v>17.099999999999998</v>
      </c>
      <c r="R16" s="785">
        <f>G142</f>
        <v>0</v>
      </c>
      <c r="S16" s="896" t="e">
        <v>#VALUE!</v>
      </c>
    </row>
    <row r="17" spans="3:29" ht="14" customHeight="1">
      <c r="C17" s="560">
        <v>10</v>
      </c>
      <c r="D17" s="752" t="e" vm="4">
        <f t="array" ref="D17">_FV(E17,"Ticker symbol",TRUE)</f>
        <v>#VALUE!</v>
      </c>
      <c r="E17" s="598" t="e">
        <v>#VALUE!</v>
      </c>
      <c r="F17" s="599" t="s">
        <v>645</v>
      </c>
      <c r="G17" s="600" t="s">
        <v>90</v>
      </c>
      <c r="H17" s="601">
        <v>20</v>
      </c>
      <c r="I17" s="536" t="e" vm="3">
        <f t="array" ref="I17">_FV(E17,"Price")</f>
        <v>#VALUE!</v>
      </c>
      <c r="J17" s="606" t="e" vm="1">
        <f t="shared" si="0"/>
        <v>#VALUE!</v>
      </c>
      <c r="K17" s="541">
        <v>0.19</v>
      </c>
      <c r="L17" s="541" t="str">
        <f t="shared" si="1"/>
        <v>YES</v>
      </c>
      <c r="M17" s="541">
        <v>1</v>
      </c>
      <c r="N17" s="542">
        <v>44986</v>
      </c>
      <c r="O17" s="543">
        <f>SUM(H51:V51)</f>
        <v>9.1499999999999986</v>
      </c>
      <c r="P17" s="785">
        <f>G82</f>
        <v>20.45</v>
      </c>
      <c r="Q17" s="543">
        <f>G113</f>
        <v>24.269999999999996</v>
      </c>
      <c r="R17" s="785">
        <f>G143</f>
        <v>4.91</v>
      </c>
      <c r="S17" s="896" t="e">
        <v>#VALUE!</v>
      </c>
    </row>
    <row r="18" spans="3:29" ht="14" customHeight="1">
      <c r="C18" s="560">
        <v>11</v>
      </c>
      <c r="D18" s="752" t="e" vm="4">
        <f t="array" ref="D18">_FV(E18,"Ticker symbol",TRUE)</f>
        <v>#VALUE!</v>
      </c>
      <c r="E18" s="598" t="e">
        <v>#VALUE!</v>
      </c>
      <c r="F18" s="599" t="s">
        <v>642</v>
      </c>
      <c r="G18" s="746" t="s">
        <v>637</v>
      </c>
      <c r="H18" s="601">
        <v>50</v>
      </c>
      <c r="I18" s="536" t="e" vm="3">
        <f t="array" ref="I18">_FV(E18,"Price")</f>
        <v>#VALUE!</v>
      </c>
      <c r="J18" s="606" t="e" vm="1">
        <f t="shared" si="0"/>
        <v>#VALUE!</v>
      </c>
      <c r="K18" s="541">
        <v>1</v>
      </c>
      <c r="L18" s="541" t="str">
        <f t="shared" si="1"/>
        <v>YES</v>
      </c>
      <c r="M18" s="541">
        <v>1</v>
      </c>
      <c r="N18" s="542">
        <v>44986</v>
      </c>
      <c r="O18" s="543">
        <f>SUM(H60:V60)</f>
        <v>4.68</v>
      </c>
      <c r="P18" s="785">
        <f>G92</f>
        <v>19.649999999999999</v>
      </c>
      <c r="Q18" s="543">
        <f>G124</f>
        <v>21.88</v>
      </c>
      <c r="R18" s="785">
        <f>G154</f>
        <v>6.89</v>
      </c>
      <c r="S18" s="960" t="e">
        <v>#VALUE!</v>
      </c>
    </row>
    <row r="19" spans="3:29" ht="14" customHeight="1">
      <c r="C19" s="560">
        <v>12</v>
      </c>
      <c r="D19" s="752" t="e" vm="4">
        <f t="array" ref="D19">_FV(E19,"Ticker symbol",TRUE)</f>
        <v>#VALUE!</v>
      </c>
      <c r="E19" s="598" t="e">
        <v>#VALUE!</v>
      </c>
      <c r="F19" s="604" t="s">
        <v>641</v>
      </c>
      <c r="G19" s="600" t="s">
        <v>90</v>
      </c>
      <c r="H19" s="601">
        <v>20</v>
      </c>
      <c r="I19" s="536" t="e" vm="3">
        <f t="array" ref="I19">_FV(E19,"Price")</f>
        <v>#VALUE!</v>
      </c>
      <c r="J19" s="606" t="e" vm="1">
        <f t="shared" si="0"/>
        <v>#VALUE!</v>
      </c>
      <c r="K19" s="541">
        <v>0.33</v>
      </c>
      <c r="L19" s="541" t="str">
        <f t="shared" si="1"/>
        <v>YES</v>
      </c>
      <c r="M19" s="541">
        <v>1</v>
      </c>
      <c r="N19" s="542">
        <v>44986</v>
      </c>
      <c r="O19" s="543">
        <f>SUM(H52:V52)</f>
        <v>4.17</v>
      </c>
      <c r="P19" s="785">
        <f>G83</f>
        <v>10.18</v>
      </c>
      <c r="Q19" s="543">
        <f>G114</f>
        <v>20.58</v>
      </c>
      <c r="R19" s="785">
        <f>G144</f>
        <v>0</v>
      </c>
      <c r="S19" s="896" t="e">
        <v>#VALUE!</v>
      </c>
    </row>
    <row r="20" spans="3:29" ht="14" customHeight="1">
      <c r="C20" s="560">
        <v>13</v>
      </c>
      <c r="D20" s="752" t="e" vm="4">
        <f t="array" ref="D20">_FV(E20,"Ticker symbol",TRUE)</f>
        <v>#VALUE!</v>
      </c>
      <c r="E20" s="598" t="e">
        <v>#VALUE!</v>
      </c>
      <c r="F20" s="604" t="s">
        <v>646</v>
      </c>
      <c r="G20" s="600" t="s">
        <v>90</v>
      </c>
      <c r="H20" s="601">
        <v>25</v>
      </c>
      <c r="I20" s="536" t="e" vm="3">
        <f t="array" ref="I20">_FV(E20,"Price")</f>
        <v>#VALUE!</v>
      </c>
      <c r="J20" s="606" t="e" vm="1">
        <f t="shared" si="0"/>
        <v>#VALUE!</v>
      </c>
      <c r="K20" s="541">
        <v>0.8</v>
      </c>
      <c r="L20" s="541" t="s">
        <v>469</v>
      </c>
      <c r="M20" s="541">
        <v>1</v>
      </c>
      <c r="N20" s="542">
        <v>45352</v>
      </c>
      <c r="O20" s="543"/>
      <c r="P20" s="785">
        <f>G88</f>
        <v>11.34</v>
      </c>
      <c r="Q20" s="543">
        <f>G119</f>
        <v>16.66</v>
      </c>
      <c r="R20" s="785">
        <f>G149</f>
        <v>0</v>
      </c>
      <c r="S20" s="896" t="e">
        <v>#VALUE!</v>
      </c>
    </row>
    <row r="21" spans="3:29" ht="14" customHeight="1">
      <c r="C21" s="560">
        <v>14</v>
      </c>
      <c r="D21" s="752" t="e" vm="4">
        <f t="array" ref="D21">_FV(E21,"Ticker symbol",TRUE)</f>
        <v>#VALUE!</v>
      </c>
      <c r="E21" s="598" t="e">
        <v>#VALUE!</v>
      </c>
      <c r="F21" s="599" t="s">
        <v>647</v>
      </c>
      <c r="G21" s="600" t="s">
        <v>90</v>
      </c>
      <c r="H21" s="601">
        <v>17</v>
      </c>
      <c r="I21" s="536" t="e" vm="3">
        <f t="array" ref="I21">_FV(E21,"Price")</f>
        <v>#VALUE!</v>
      </c>
      <c r="J21" s="606" t="e" vm="1">
        <f t="shared" si="0"/>
        <v>#VALUE!</v>
      </c>
      <c r="K21" s="541">
        <v>0.37</v>
      </c>
      <c r="L21" s="541" t="str">
        <f>IF(H21&gt;0,"YES","NO")</f>
        <v>YES</v>
      </c>
      <c r="M21" s="541">
        <v>1</v>
      </c>
      <c r="N21" s="542">
        <v>44986</v>
      </c>
      <c r="O21" s="543">
        <f>SUM(H53:V53)</f>
        <v>2.5499999999999998</v>
      </c>
      <c r="P21" s="785">
        <f>G84</f>
        <v>7.3599999999999994</v>
      </c>
      <c r="Q21" s="543">
        <f>G115</f>
        <v>31.64</v>
      </c>
      <c r="R21" s="785">
        <f>G145</f>
        <v>0</v>
      </c>
      <c r="S21" s="896" t="e">
        <v>#VALUE!</v>
      </c>
    </row>
    <row r="22" spans="3:29" ht="14" customHeight="1">
      <c r="C22" s="560">
        <v>15</v>
      </c>
      <c r="D22" s="752" t="e" vm="4">
        <f t="array" ref="D22">_FV(E22,"Ticker symbol",TRUE)</f>
        <v>#VALUE!</v>
      </c>
      <c r="E22" s="598" t="e">
        <v>#VALUE!</v>
      </c>
      <c r="F22" s="599" t="s">
        <v>638</v>
      </c>
      <c r="G22" s="600" t="s">
        <v>90</v>
      </c>
      <c r="H22" s="601">
        <v>25</v>
      </c>
      <c r="I22" s="536" t="e" vm="3">
        <f t="array" ref="I22">_FV(E22,"Price")</f>
        <v>#VALUE!</v>
      </c>
      <c r="J22" s="606" t="e" vm="1">
        <f t="shared" si="0"/>
        <v>#VALUE!</v>
      </c>
      <c r="K22" s="541">
        <v>0.66</v>
      </c>
      <c r="L22" s="541" t="str">
        <f>IF(H22&gt;0,"YES","NO")</f>
        <v>YES</v>
      </c>
      <c r="M22" s="541">
        <v>1</v>
      </c>
      <c r="N22" s="542">
        <v>44986</v>
      </c>
      <c r="O22" s="543">
        <f>SUM(H54:V54)</f>
        <v>8.58</v>
      </c>
      <c r="P22" s="785">
        <f>G85</f>
        <v>26.310000000000002</v>
      </c>
      <c r="Q22" s="543">
        <f>G116</f>
        <v>33.85</v>
      </c>
      <c r="R22" s="785">
        <f>G146</f>
        <v>12.07</v>
      </c>
      <c r="S22" s="896" t="e">
        <v>#VALUE!</v>
      </c>
    </row>
    <row r="23" spans="3:29" s="74" customFormat="1" ht="14" customHeight="1">
      <c r="C23" s="560">
        <v>16</v>
      </c>
      <c r="D23" s="752" t="e" vm="4">
        <f t="array" ref="D23">_FV(E23,"Ticker symbol",TRUE)</f>
        <v>#VALUE!</v>
      </c>
      <c r="E23" s="959" t="e">
        <v>#VALUE!</v>
      </c>
      <c r="F23" s="599" t="s">
        <v>648</v>
      </c>
      <c r="G23" s="603" t="s">
        <v>90</v>
      </c>
      <c r="H23" s="601">
        <v>0</v>
      </c>
      <c r="I23" s="536" t="e" vm="3">
        <f t="array" ref="I23">_FV(E23,"Price")</f>
        <v>#VALUE!</v>
      </c>
      <c r="J23" s="606" t="e" vm="1">
        <f t="shared" si="0"/>
        <v>#VALUE!</v>
      </c>
      <c r="K23" s="541">
        <v>0.48</v>
      </c>
      <c r="L23" s="541" t="str">
        <f>IF(H23&gt;0,"YES","NO")</f>
        <v>NO</v>
      </c>
      <c r="M23" s="541">
        <v>1</v>
      </c>
      <c r="N23" s="590">
        <v>45017</v>
      </c>
      <c r="O23" s="591">
        <f>SUM(H55:V55)</f>
        <v>5.34</v>
      </c>
      <c r="P23" s="786">
        <f>G86</f>
        <v>6.9</v>
      </c>
      <c r="Q23" s="591">
        <f>G117</f>
        <v>0</v>
      </c>
      <c r="R23" s="786">
        <f>G147</f>
        <v>0</v>
      </c>
      <c r="S23" s="961" t="e">
        <v>#VALUE!</v>
      </c>
      <c r="T23" s="535"/>
      <c r="U23" s="535"/>
      <c r="V23" s="535"/>
      <c r="W23" s="535"/>
      <c r="X23" s="535"/>
      <c r="Y23" s="535"/>
      <c r="Z23" s="535"/>
      <c r="AA23" s="535"/>
      <c r="AB23" s="535"/>
      <c r="AC23" s="535"/>
    </row>
    <row r="24" spans="3:29" ht="14" customHeight="1">
      <c r="C24" s="560">
        <v>17</v>
      </c>
      <c r="D24" s="752" t="e" vm="4">
        <f t="array" ref="D24">_FV(E24,"Ticker symbol",TRUE)</f>
        <v>#VALUE!</v>
      </c>
      <c r="E24" s="605" t="e">
        <v>#VALUE!</v>
      </c>
      <c r="F24" s="599" t="s">
        <v>648</v>
      </c>
      <c r="G24" s="603" t="s">
        <v>90</v>
      </c>
      <c r="H24" s="601">
        <v>20</v>
      </c>
      <c r="I24" s="536" t="e" vm="3">
        <f t="array" ref="I24">_FV(E24,"Price")</f>
        <v>#VALUE!</v>
      </c>
      <c r="J24" s="606" t="e" vm="1">
        <f t="shared" si="0"/>
        <v>#VALUE!</v>
      </c>
      <c r="K24" s="541"/>
      <c r="L24" s="541" t="s">
        <v>469</v>
      </c>
      <c r="M24" s="541">
        <v>1</v>
      </c>
      <c r="N24" s="542">
        <v>45748</v>
      </c>
      <c r="O24" s="543"/>
      <c r="P24" s="785"/>
      <c r="Q24" s="543">
        <f>G120</f>
        <v>10.77</v>
      </c>
      <c r="R24" s="785">
        <f>G150</f>
        <v>0</v>
      </c>
      <c r="S24" s="895" t="e">
        <f>E24</f>
        <v>#VALUE!</v>
      </c>
    </row>
    <row r="25" spans="3:29" ht="13" customHeight="1">
      <c r="D25" s="537"/>
      <c r="E25" s="586"/>
      <c r="F25" s="544"/>
      <c r="G25" s="573"/>
      <c r="H25" s="538"/>
      <c r="I25" s="539"/>
      <c r="J25" s="540"/>
      <c r="K25" s="541"/>
      <c r="L25" s="541"/>
      <c r="M25" s="541"/>
      <c r="N25" s="542"/>
      <c r="O25" s="543"/>
      <c r="P25" s="785"/>
      <c r="Q25" s="543"/>
      <c r="R25" s="785"/>
      <c r="S25" s="895"/>
    </row>
    <row r="26" spans="3:29" ht="13" customHeight="1">
      <c r="D26" s="910"/>
      <c r="E26" s="586"/>
      <c r="F26" s="911"/>
      <c r="G26" s="573"/>
      <c r="H26" s="538"/>
      <c r="I26" s="539"/>
      <c r="J26" s="540"/>
      <c r="K26" s="541"/>
      <c r="L26" s="541"/>
      <c r="M26" s="541"/>
      <c r="N26" s="542"/>
      <c r="O26" s="543"/>
      <c r="P26" s="785"/>
      <c r="Q26" s="543"/>
      <c r="R26" s="785"/>
      <c r="S26" s="895"/>
    </row>
    <row r="27" spans="3:29" ht="14" customHeight="1">
      <c r="C27" s="865">
        <v>1</v>
      </c>
      <c r="D27" s="753" t="e" vm="5">
        <f t="array" ref="D27">_FV(E27,"Símbolo bursátil",TRUE)</f>
        <v>#VALUE!</v>
      </c>
      <c r="E27" s="598" t="e">
        <v>#VALUE!</v>
      </c>
      <c r="F27" s="604" t="s">
        <v>649</v>
      </c>
      <c r="G27" s="600" t="s">
        <v>90</v>
      </c>
      <c r="H27" s="601">
        <v>25</v>
      </c>
      <c r="I27" s="539" t="e" vm="6">
        <f t="array" ref="I27">_FV(E27,"Precio",TRUE)</f>
        <v>#VALUE!</v>
      </c>
      <c r="J27" s="606" t="e" vm="1">
        <f>H27*I27</f>
        <v>#VALUE!</v>
      </c>
      <c r="K27" s="541">
        <v>0</v>
      </c>
      <c r="L27" s="541" t="s">
        <v>469</v>
      </c>
      <c r="M27" s="541">
        <v>1</v>
      </c>
      <c r="N27" s="542">
        <v>45231</v>
      </c>
      <c r="O27" s="543">
        <f>G47</f>
        <v>0</v>
      </c>
      <c r="P27" s="785">
        <f>G78</f>
        <v>22.04</v>
      </c>
      <c r="Q27" s="543">
        <f>G109</f>
        <v>19.169999999999998</v>
      </c>
      <c r="R27" s="785">
        <f>G139</f>
        <v>0</v>
      </c>
      <c r="S27" s="896" t="e">
        <v>#VALUE!</v>
      </c>
    </row>
    <row r="28" spans="3:29" ht="14" customHeight="1">
      <c r="C28" s="865">
        <v>2</v>
      </c>
      <c r="D28" s="753" t="e" vm="4">
        <f t="array" ref="D28">_FV(E28,"Ticker symbol",TRUE)</f>
        <v>#VALUE!</v>
      </c>
      <c r="E28" s="598" t="e">
        <v>#VALUE!</v>
      </c>
      <c r="F28" s="604" t="e" vm="7">
        <f t="array" ref="F28">_FV(E28,"Instrument type",TRUE)</f>
        <v>#VALUE!</v>
      </c>
      <c r="G28" s="600" t="s">
        <v>90</v>
      </c>
      <c r="H28" s="601">
        <v>55</v>
      </c>
      <c r="I28" s="539" t="e" vm="3">
        <f t="array" ref="I28">_FV(E28,"Price")</f>
        <v>#VALUE!</v>
      </c>
      <c r="J28" s="606" t="e" vm="1">
        <f>H28*I28</f>
        <v>#VALUE!</v>
      </c>
      <c r="K28" s="545">
        <f>O28/H28</f>
        <v>0.41909090909090913</v>
      </c>
      <c r="L28" s="541" t="str">
        <f>IF(H28&gt;0,"YES","NO")</f>
        <v>YES</v>
      </c>
      <c r="M28" s="541">
        <v>1</v>
      </c>
      <c r="N28" s="542">
        <v>44958</v>
      </c>
      <c r="O28" s="543">
        <f>SUM(H44:V44)</f>
        <v>23.05</v>
      </c>
      <c r="P28" s="785">
        <f>G75</f>
        <v>35.56</v>
      </c>
      <c r="Q28" s="543">
        <f>G106</f>
        <v>53.31</v>
      </c>
      <c r="R28" s="785">
        <f>G136</f>
        <v>0</v>
      </c>
      <c r="S28" s="896" t="e">
        <v>#VALUE!</v>
      </c>
    </row>
    <row r="29" spans="3:29" s="74" customFormat="1" ht="14" customHeight="1">
      <c r="C29" s="866">
        <v>3</v>
      </c>
      <c r="D29" s="753" t="e" vm="4">
        <f t="array" ref="D29">_FV(E29,"Ticker symbol",TRUE)</f>
        <v>#VALUE!</v>
      </c>
      <c r="E29" s="598" t="e">
        <v>#VALUE!</v>
      </c>
      <c r="F29" s="604" t="e" vm="7">
        <f t="array" ref="F29">_FV(E29,"Instrument type",TRUE)</f>
        <v>#VALUE!</v>
      </c>
      <c r="G29" s="603" t="s">
        <v>90</v>
      </c>
      <c r="H29" s="601">
        <v>35</v>
      </c>
      <c r="I29" s="539" t="e" vm="3">
        <f t="array" ref="I29">_FV(E29,"Price")</f>
        <v>#VALUE!</v>
      </c>
      <c r="J29" s="606" t="e" vm="1">
        <f>H29*I29</f>
        <v>#VALUE!</v>
      </c>
      <c r="K29" s="545">
        <f>O29/H29</f>
        <v>0.83571428571428574</v>
      </c>
      <c r="L29" s="541" t="str">
        <f>IF(H29&gt;0,"YES","NO")</f>
        <v>YES</v>
      </c>
      <c r="M29" s="541">
        <v>1</v>
      </c>
      <c r="N29" s="590">
        <v>44805</v>
      </c>
      <c r="O29" s="591">
        <f>SUM(H45:V45)</f>
        <v>29.25</v>
      </c>
      <c r="P29" s="786">
        <f>G76</f>
        <v>28.85</v>
      </c>
      <c r="Q29" s="591">
        <f>G107</f>
        <v>44.699999999999996</v>
      </c>
      <c r="R29" s="786">
        <f>G137</f>
        <v>0</v>
      </c>
      <c r="S29" s="896" t="e">
        <v>#VALUE!</v>
      </c>
      <c r="T29" s="535"/>
      <c r="U29" s="535"/>
      <c r="V29" s="535"/>
      <c r="W29" s="535"/>
      <c r="X29" s="535"/>
      <c r="Y29" s="535"/>
      <c r="Z29" s="535"/>
      <c r="AA29" s="535"/>
      <c r="AB29" s="535"/>
      <c r="AC29" s="535"/>
    </row>
    <row r="30" spans="3:29" ht="14" customHeight="1">
      <c r="C30" s="865">
        <v>4</v>
      </c>
      <c r="D30" s="753" t="e" vm="4">
        <f t="array" ref="D30">_FV(E30,"Ticker symbol",TRUE)</f>
        <v>#VALUE!</v>
      </c>
      <c r="E30" s="608" t="e">
        <v>#VALUE!</v>
      </c>
      <c r="F30" s="604" t="e" vm="7">
        <f t="array" ref="F30">_FV(E30,"Instrument type",TRUE)</f>
        <v>#VALUE!</v>
      </c>
      <c r="G30" s="609" t="s">
        <v>90</v>
      </c>
      <c r="H30" s="610">
        <v>60</v>
      </c>
      <c r="I30" s="539" t="e" vm="3">
        <f t="array" ref="I30">_FV(E30,"Price")</f>
        <v>#VALUE!</v>
      </c>
      <c r="J30" s="607" t="e" vm="1">
        <f>H30*I30</f>
        <v>#VALUE!</v>
      </c>
      <c r="K30" s="547">
        <v>0.19</v>
      </c>
      <c r="L30" s="548" t="str">
        <f>IF(H30&gt;0,"YES","NO")</f>
        <v>YES</v>
      </c>
      <c r="M30" s="548">
        <v>1</v>
      </c>
      <c r="N30" s="549">
        <v>44958</v>
      </c>
      <c r="O30" s="550">
        <f>SUM(H46:V46)</f>
        <v>10.129999999999999</v>
      </c>
      <c r="P30" s="787">
        <f>G77</f>
        <v>21.21</v>
      </c>
      <c r="Q30" s="550">
        <f>G108</f>
        <v>32.14</v>
      </c>
      <c r="R30" s="787">
        <f>G138</f>
        <v>8.7899999999999991</v>
      </c>
      <c r="S30" s="896" t="e">
        <v>#VALUE!</v>
      </c>
    </row>
    <row r="31" spans="3:29" ht="13" customHeight="1">
      <c r="H31" s="519"/>
      <c r="I31" s="518"/>
      <c r="J31" s="517"/>
      <c r="K31" s="516"/>
      <c r="L31" s="516"/>
      <c r="M31" s="516"/>
      <c r="N31" s="520"/>
      <c r="O31" s="532"/>
      <c r="P31" s="532"/>
      <c r="Q31" s="532"/>
    </row>
    <row r="32" spans="3:29" ht="13" customHeight="1">
      <c r="D32" s="530"/>
      <c r="E32" s="587"/>
      <c r="F32" s="530"/>
      <c r="G32" s="574"/>
      <c r="H32" s="530"/>
      <c r="I32" s="531"/>
      <c r="J32" s="530"/>
      <c r="K32" s="530"/>
      <c r="L32" s="530"/>
      <c r="M32" s="530"/>
      <c r="N32" s="530"/>
      <c r="O32" s="532"/>
      <c r="P32" s="532"/>
      <c r="Q32" s="532"/>
    </row>
    <row r="33" spans="2:29" ht="18" customHeight="1">
      <c r="H33" s="556">
        <f>SUMIF(L8:L32,"YES",H8:H32)</f>
        <v>673</v>
      </c>
      <c r="I33" s="790" t="e">
        <f>AVERAGEIF(L8:L32,"YES",I8:I32)</f>
        <v>#VALUE!</v>
      </c>
      <c r="J33" s="901" t="e">
        <f>SUMIF(L8:L32,"YES",J8:J32)</f>
        <v>#VALUE!</v>
      </c>
      <c r="K33" s="768"/>
      <c r="L33" s="533">
        <f>COUNTIF(L8:L31,"YES")</f>
        <v>20</v>
      </c>
      <c r="O33" s="894">
        <f>SUM(O8:O31)</f>
        <v>133.27000000000001</v>
      </c>
      <c r="P33" s="894">
        <f>SUM(P8:P31)</f>
        <v>471.77</v>
      </c>
      <c r="Q33" s="894">
        <f>SUM(Q8:Q31)</f>
        <v>580.12</v>
      </c>
      <c r="R33" s="1002">
        <f>SUM(R8:R31)</f>
        <v>121.86999999999998</v>
      </c>
    </row>
    <row r="34" spans="2:29" s="535" customFormat="1" ht="13" customHeight="1">
      <c r="E34" s="584"/>
      <c r="G34" s="575"/>
      <c r="H34" s="535" t="s">
        <v>650</v>
      </c>
      <c r="I34" s="535" t="s">
        <v>651</v>
      </c>
      <c r="J34" s="535" t="s">
        <v>177</v>
      </c>
      <c r="L34" s="576" t="s">
        <v>652</v>
      </c>
      <c r="O34" s="535" t="s">
        <v>612</v>
      </c>
    </row>
    <row r="35" spans="2:29" ht="16" customHeight="1">
      <c r="J35" s="790" t="e">
        <f>AVERAGEIF(L9:L34,"YES",J9:J34)</f>
        <v>#VALUE!</v>
      </c>
      <c r="O35" s="533" t="s">
        <v>653</v>
      </c>
    </row>
    <row r="36" spans="2:29" ht="12.75" customHeight="1">
      <c r="J36" s="968" t="s">
        <v>651</v>
      </c>
    </row>
    <row r="38" spans="2:29" ht="18" customHeight="1">
      <c r="J38" s="557" t="s">
        <v>654</v>
      </c>
      <c r="K38" s="558" t="e">
        <f>SUMIF(M8:M31,1,I8:I31)</f>
        <v>#VALUE!</v>
      </c>
      <c r="L38" s="1022" t="s">
        <v>655</v>
      </c>
      <c r="M38" s="1016"/>
      <c r="N38" s="1016"/>
      <c r="O38" s="1016"/>
      <c r="P38" s="1021">
        <f>SUM(O33:R33)</f>
        <v>1307.0299999999997</v>
      </c>
      <c r="Q38" s="1016"/>
    </row>
    <row r="40" spans="2:29" ht="12.75" customHeight="1">
      <c r="H40" s="535"/>
      <c r="I40" s="535"/>
      <c r="J40" s="535"/>
      <c r="K40" s="535"/>
      <c r="L40" s="535"/>
      <c r="M40" s="535"/>
      <c r="N40" s="535"/>
      <c r="O40" s="535"/>
      <c r="P40" s="535"/>
      <c r="Q40" s="535"/>
    </row>
    <row r="41" spans="2:29" ht="25" customHeight="1">
      <c r="G41" s="862">
        <v>2023</v>
      </c>
      <c r="I41" s="571" t="s">
        <v>656</v>
      </c>
      <c r="J41" s="535"/>
      <c r="K41" s="535"/>
      <c r="N41" s="535"/>
      <c r="O41" s="535"/>
      <c r="P41" s="535"/>
      <c r="Q41" s="535"/>
    </row>
    <row r="42" spans="2:29" ht="12.75" customHeight="1">
      <c r="G42" s="563" t="s">
        <v>86</v>
      </c>
      <c r="H42" s="562" t="s">
        <v>76</v>
      </c>
      <c r="I42" s="562" t="s">
        <v>285</v>
      </c>
      <c r="J42" s="562" t="s">
        <v>218</v>
      </c>
      <c r="K42" s="562" t="s">
        <v>286</v>
      </c>
      <c r="N42" s="562" t="s">
        <v>219</v>
      </c>
      <c r="O42" s="562" t="s">
        <v>287</v>
      </c>
      <c r="P42" s="562" t="s">
        <v>220</v>
      </c>
      <c r="Q42" s="562" t="s">
        <v>288</v>
      </c>
      <c r="S42" s="562" t="s">
        <v>290</v>
      </c>
      <c r="T42" s="562" t="s">
        <v>221</v>
      </c>
      <c r="U42" s="562" t="s">
        <v>291</v>
      </c>
      <c r="V42" s="562" t="s">
        <v>222</v>
      </c>
      <c r="W42" s="563" t="s">
        <v>86</v>
      </c>
    </row>
    <row r="43" spans="2:29" ht="12.75" customHeight="1">
      <c r="B43" s="670" t="s">
        <v>657</v>
      </c>
      <c r="H43" s="535"/>
      <c r="I43" s="535"/>
      <c r="J43" s="535"/>
      <c r="K43" s="535"/>
      <c r="N43" s="535"/>
      <c r="O43" s="535"/>
      <c r="P43" s="535"/>
      <c r="Q43" s="535"/>
      <c r="X43" s="688"/>
    </row>
    <row r="44" spans="2:29" ht="12.75" customHeight="1">
      <c r="B44" s="619">
        <f>H28</f>
        <v>55</v>
      </c>
      <c r="C44" s="621">
        <v>1</v>
      </c>
      <c r="D44" t="e" vm="4">
        <f t="array" ref="D44">_FV(E44,"Ticker symbol",TRUE)</f>
        <v>#VALUE!</v>
      </c>
      <c r="E44" s="748" t="e">
        <f>E28</f>
        <v>#VALUE!</v>
      </c>
      <c r="F44" s="727" t="e" vm="8">
        <f t="array" ref="F44">_FV(E44,"Exchange abbreviation",TRUE)</f>
        <v>#VALUE!</v>
      </c>
      <c r="G44" s="568">
        <f t="shared" ref="G44:G62" si="2">SUM(H44:V44)</f>
        <v>23.05</v>
      </c>
      <c r="H44" s="728"/>
      <c r="I44" s="729"/>
      <c r="J44" s="729">
        <v>1.35</v>
      </c>
      <c r="K44" s="729"/>
      <c r="L44" s="594"/>
      <c r="M44" s="594"/>
      <c r="N44" s="729"/>
      <c r="O44" s="729">
        <v>6.16</v>
      </c>
      <c r="P44" s="729"/>
      <c r="Q44" s="729"/>
      <c r="R44" s="594"/>
      <c r="S44" s="729">
        <v>8.08</v>
      </c>
      <c r="T44" s="729"/>
      <c r="U44" s="729"/>
      <c r="V44" s="730">
        <v>7.46</v>
      </c>
      <c r="W44" s="568">
        <f t="shared" ref="W44:W62" si="3">SUM(H44:V44)</f>
        <v>23.05</v>
      </c>
      <c r="X44" s="689" t="e">
        <v>#VALUE!</v>
      </c>
      <c r="AC44" s="749">
        <f t="shared" ref="AC44:AC62" si="4">W44/$W$64</f>
        <v>0.17295715464845801</v>
      </c>
    </row>
    <row r="45" spans="2:29" ht="12.75" customHeight="1">
      <c r="B45" s="619">
        <f>H29</f>
        <v>35</v>
      </c>
      <c r="C45" s="621">
        <v>2</v>
      </c>
      <c r="D45" t="e" vm="4">
        <f t="array" ref="D45">_FV(E45,"Ticker symbol",TRUE)</f>
        <v>#VALUE!</v>
      </c>
      <c r="E45" s="748" t="e">
        <f>E29</f>
        <v>#VALUE!</v>
      </c>
      <c r="F45" s="727" t="e" vm="8">
        <f t="array" ref="F45">_FV(E45,"Exchange abbreviation",TRUE)</f>
        <v>#VALUE!</v>
      </c>
      <c r="G45" s="568">
        <f t="shared" si="2"/>
        <v>29.25</v>
      </c>
      <c r="H45" s="731"/>
      <c r="I45" s="732"/>
      <c r="J45" s="732">
        <v>2.02</v>
      </c>
      <c r="K45" s="732"/>
      <c r="L45" s="594"/>
      <c r="M45" s="594"/>
      <c r="N45" s="732"/>
      <c r="O45" s="732">
        <v>12.61</v>
      </c>
      <c r="P45" s="732"/>
      <c r="Q45" s="732"/>
      <c r="R45" s="594"/>
      <c r="S45" s="732">
        <v>10.55</v>
      </c>
      <c r="T45" s="732"/>
      <c r="U45" s="732"/>
      <c r="V45" s="641">
        <v>4.07</v>
      </c>
      <c r="W45" s="681">
        <f t="shared" si="3"/>
        <v>29.25</v>
      </c>
      <c r="X45" s="689" t="e">
        <v>#VALUE!</v>
      </c>
      <c r="AC45" s="749">
        <f t="shared" si="4"/>
        <v>0.21947925264500637</v>
      </c>
    </row>
    <row r="46" spans="2:29" ht="12.75" customHeight="1">
      <c r="B46" s="619">
        <f>H30</f>
        <v>60</v>
      </c>
      <c r="C46" s="621">
        <v>3</v>
      </c>
      <c r="D46" t="e" vm="4">
        <f t="array" ref="D46">_FV(E46,"Ticker symbol",TRUE)</f>
        <v>#VALUE!</v>
      </c>
      <c r="E46" s="748" t="e">
        <f>E30</f>
        <v>#VALUE!</v>
      </c>
      <c r="F46" s="727" t="e" vm="8">
        <f t="array" ref="F46">_FV(E46,"Exchange abbreviation",TRUE)</f>
        <v>#VALUE!</v>
      </c>
      <c r="G46" s="568">
        <f t="shared" si="2"/>
        <v>10.129999999999999</v>
      </c>
      <c r="H46" s="731">
        <v>2.89</v>
      </c>
      <c r="I46" s="732"/>
      <c r="J46" s="732"/>
      <c r="K46" s="732"/>
      <c r="L46" s="594"/>
      <c r="M46" s="594"/>
      <c r="N46" s="732">
        <v>3.46</v>
      </c>
      <c r="O46" s="732"/>
      <c r="P46" s="732"/>
      <c r="Q46" s="732"/>
      <c r="R46" s="594"/>
      <c r="S46" s="732">
        <v>3.78</v>
      </c>
      <c r="T46" s="732"/>
      <c r="U46" s="732"/>
      <c r="V46" s="641"/>
      <c r="W46" s="568">
        <f t="shared" si="3"/>
        <v>10.129999999999999</v>
      </c>
      <c r="X46" s="689" t="e">
        <v>#VALUE!</v>
      </c>
      <c r="AC46" s="749">
        <f t="shared" si="4"/>
        <v>7.6011105275005611E-2</v>
      </c>
    </row>
    <row r="47" spans="2:29" ht="12.75" customHeight="1">
      <c r="B47" s="619">
        <f>H27</f>
        <v>25</v>
      </c>
      <c r="C47" s="621">
        <v>4</v>
      </c>
      <c r="D47" t="e" vm="5">
        <f t="array" ref="D47">_FV(E47,"Símbolo bursátil",TRUE)</f>
        <v>#VALUE!</v>
      </c>
      <c r="E47" s="769" t="e">
        <f>E27</f>
        <v>#VALUE!</v>
      </c>
      <c r="F47" s="727" t="s">
        <v>343</v>
      </c>
      <c r="G47" s="568">
        <f t="shared" si="2"/>
        <v>0</v>
      </c>
      <c r="H47" s="731"/>
      <c r="I47" s="732"/>
      <c r="J47" s="732"/>
      <c r="K47" s="732"/>
      <c r="L47" s="594"/>
      <c r="M47" s="594"/>
      <c r="N47" s="732"/>
      <c r="O47" s="732"/>
      <c r="P47" s="732"/>
      <c r="Q47" s="732"/>
      <c r="R47" s="594"/>
      <c r="S47" s="732"/>
      <c r="T47" s="732"/>
      <c r="U47" s="732"/>
      <c r="V47" s="641"/>
      <c r="W47" s="568">
        <f t="shared" si="3"/>
        <v>0</v>
      </c>
      <c r="X47" s="689" t="e">
        <f>E27</f>
        <v>#VALUE!</v>
      </c>
      <c r="AC47" s="749">
        <f t="shared" si="4"/>
        <v>0</v>
      </c>
    </row>
    <row r="48" spans="2:29" ht="12.75" customHeight="1">
      <c r="B48" s="619">
        <f>H9</f>
        <v>25</v>
      </c>
      <c r="C48" s="621">
        <v>5</v>
      </c>
      <c r="D48" t="e" vm="4">
        <f t="array" ref="D48">_FV(E48,"Ticker symbol",TRUE)</f>
        <v>#VALUE!</v>
      </c>
      <c r="E48" s="589" t="e">
        <f>E9</f>
        <v>#VALUE!</v>
      </c>
      <c r="F48" s="597" t="e" vm="8">
        <f t="array" ref="F48">_FV(E48,"Exchange abbreviation",TRUE)</f>
        <v>#VALUE!</v>
      </c>
      <c r="G48" s="568">
        <f t="shared" si="2"/>
        <v>5.66</v>
      </c>
      <c r="I48" s="565"/>
      <c r="J48" s="565"/>
      <c r="K48" s="565"/>
      <c r="N48" s="565">
        <v>0.51</v>
      </c>
      <c r="O48" s="565"/>
      <c r="P48" s="565"/>
      <c r="Q48" s="565">
        <v>2.5299999999999998</v>
      </c>
      <c r="S48" s="565"/>
      <c r="T48" s="565"/>
      <c r="U48" s="565">
        <v>2.62</v>
      </c>
      <c r="V48" s="544"/>
      <c r="W48" s="568">
        <f t="shared" si="3"/>
        <v>5.66</v>
      </c>
      <c r="X48" s="689" t="e">
        <v>#VALUE!</v>
      </c>
      <c r="AC48" s="749">
        <f t="shared" si="4"/>
        <v>4.2470173332332856E-2</v>
      </c>
    </row>
    <row r="49" spans="1:30" ht="12.75" customHeight="1">
      <c r="B49" s="619">
        <f>H15</f>
        <v>20</v>
      </c>
      <c r="C49" s="621">
        <v>6</v>
      </c>
      <c r="D49" t="e" vm="4">
        <f t="array" ref="D49">_FV(E49,"Ticker symbol",TRUE)</f>
        <v>#VALUE!</v>
      </c>
      <c r="E49" s="589" t="e">
        <f>E15</f>
        <v>#VALUE!</v>
      </c>
      <c r="F49" s="597" t="e" vm="8">
        <f t="array" ref="F49">_FV(E49,"Exchange abbreviation",TRUE)</f>
        <v>#VALUE!</v>
      </c>
      <c r="G49" s="568">
        <f t="shared" si="2"/>
        <v>2.54</v>
      </c>
      <c r="H49" s="564"/>
      <c r="I49" s="565"/>
      <c r="J49" s="565"/>
      <c r="K49" s="565"/>
      <c r="N49" s="565">
        <v>0.23</v>
      </c>
      <c r="O49" s="565"/>
      <c r="P49" s="565"/>
      <c r="Q49" s="565"/>
      <c r="S49" s="565">
        <v>1.1599999999999999</v>
      </c>
      <c r="T49" s="565"/>
      <c r="U49" s="565"/>
      <c r="V49" s="544">
        <v>1.1499999999999999</v>
      </c>
      <c r="W49" s="568">
        <f t="shared" si="3"/>
        <v>2.54</v>
      </c>
      <c r="X49" s="689" t="e">
        <v>#VALUE!</v>
      </c>
      <c r="AC49" s="749">
        <f t="shared" si="4"/>
        <v>1.9059053050198844E-2</v>
      </c>
    </row>
    <row r="50" spans="1:30" ht="12.75" customHeight="1">
      <c r="B50" s="619">
        <f>H16</f>
        <v>25</v>
      </c>
      <c r="C50" s="621">
        <v>7</v>
      </c>
      <c r="D50" t="e" vm="4">
        <f t="array" ref="D50">_FV(E50,"Ticker symbol",TRUE)</f>
        <v>#VALUE!</v>
      </c>
      <c r="E50" s="589" t="e">
        <f>E16</f>
        <v>#VALUE!</v>
      </c>
      <c r="F50" s="597" t="e" vm="8">
        <f t="array" ref="F50">_FV(E50,"Exchange abbreviation",TRUE)</f>
        <v>#VALUE!</v>
      </c>
      <c r="G50" s="568">
        <f t="shared" si="2"/>
        <v>3.3200000000000003</v>
      </c>
      <c r="H50" s="564"/>
      <c r="I50" s="565"/>
      <c r="J50" s="565"/>
      <c r="K50" s="565"/>
      <c r="N50" s="565"/>
      <c r="O50" s="565"/>
      <c r="P50" s="565">
        <v>1.1000000000000001</v>
      </c>
      <c r="Q50" s="565"/>
      <c r="S50" s="565">
        <v>1.1299999999999999</v>
      </c>
      <c r="T50" s="565">
        <v>1.0900000000000001</v>
      </c>
      <c r="U50" s="565"/>
      <c r="V50" s="544"/>
      <c r="W50" s="568">
        <f t="shared" si="3"/>
        <v>3.3200000000000003</v>
      </c>
      <c r="X50" s="689" t="e">
        <v>#VALUE!</v>
      </c>
      <c r="AC50" s="749">
        <f t="shared" si="4"/>
        <v>2.4911833120732349E-2</v>
      </c>
    </row>
    <row r="51" spans="1:30" ht="12.75" customHeight="1">
      <c r="B51" s="619">
        <f>H17</f>
        <v>20</v>
      </c>
      <c r="C51" s="621">
        <v>8</v>
      </c>
      <c r="D51" t="e" vm="4">
        <f t="array" ref="D51">_FV(E51,"Ticker symbol",TRUE)</f>
        <v>#VALUE!</v>
      </c>
      <c r="E51" s="589" t="e">
        <f>E17</f>
        <v>#VALUE!</v>
      </c>
      <c r="F51" s="597" t="e" vm="8">
        <f t="array" ref="F51">_FV(E51,"Exchange abbreviation",TRUE)</f>
        <v>#VALUE!</v>
      </c>
      <c r="G51" s="568">
        <f t="shared" si="2"/>
        <v>9.1499999999999986</v>
      </c>
      <c r="H51" s="564"/>
      <c r="I51" s="565"/>
      <c r="J51" s="565"/>
      <c r="K51" s="565">
        <v>0.52</v>
      </c>
      <c r="N51" s="565">
        <v>0.53</v>
      </c>
      <c r="O51" s="565">
        <v>0.52</v>
      </c>
      <c r="P51" s="565">
        <v>0.52</v>
      </c>
      <c r="Q51" s="565">
        <v>1.4</v>
      </c>
      <c r="S51" s="565">
        <v>1.44</v>
      </c>
      <c r="T51" s="565">
        <v>1.44</v>
      </c>
      <c r="U51" s="565">
        <v>1.4</v>
      </c>
      <c r="V51" s="544">
        <v>1.38</v>
      </c>
      <c r="W51" s="568">
        <f t="shared" si="3"/>
        <v>9.1499999999999986</v>
      </c>
      <c r="X51" s="689" t="e">
        <v>#VALUE!</v>
      </c>
      <c r="AC51" s="749">
        <f t="shared" si="4"/>
        <v>6.8657612365873769E-2</v>
      </c>
    </row>
    <row r="52" spans="1:30" ht="12.75" customHeight="1">
      <c r="B52" s="619">
        <f>H19</f>
        <v>20</v>
      </c>
      <c r="C52" s="621">
        <v>9</v>
      </c>
      <c r="D52" t="e" vm="4">
        <f t="array" ref="D52">_FV(E52,"Ticker symbol",TRUE)</f>
        <v>#VALUE!</v>
      </c>
      <c r="E52" s="589" t="e">
        <f>E19</f>
        <v>#VALUE!</v>
      </c>
      <c r="F52" s="597" t="e" vm="8">
        <f t="array" ref="F52">_FV(E52,"Exchange abbreviation",TRUE)</f>
        <v>#VALUE!</v>
      </c>
      <c r="G52" s="568">
        <f t="shared" si="2"/>
        <v>4.17</v>
      </c>
      <c r="H52" s="564"/>
      <c r="I52" s="565"/>
      <c r="J52" s="565"/>
      <c r="K52" s="565"/>
      <c r="N52" s="565"/>
      <c r="O52" s="565">
        <v>0.8</v>
      </c>
      <c r="P52" s="565"/>
      <c r="Q52" s="565"/>
      <c r="S52" s="565">
        <v>0.91</v>
      </c>
      <c r="T52" s="565"/>
      <c r="U52" s="565"/>
      <c r="V52" s="544">
        <v>2.46</v>
      </c>
      <c r="W52" s="568">
        <f t="shared" si="3"/>
        <v>4.17</v>
      </c>
      <c r="X52" s="689" t="e">
        <v>#VALUE!</v>
      </c>
      <c r="AC52" s="749">
        <f t="shared" si="4"/>
        <v>3.1289862684775266E-2</v>
      </c>
    </row>
    <row r="53" spans="1:30" ht="12.75" customHeight="1">
      <c r="B53" s="619">
        <f>H21</f>
        <v>17</v>
      </c>
      <c r="C53" s="621">
        <v>10</v>
      </c>
      <c r="D53" t="e" vm="4">
        <f t="array" ref="D53">_FV(E53,"Ticker symbol",TRUE)</f>
        <v>#VALUE!</v>
      </c>
      <c r="E53" s="589" t="e">
        <f>E21</f>
        <v>#VALUE!</v>
      </c>
      <c r="F53" s="597" t="e" vm="8">
        <f t="array" ref="F53">_FV(E53,"Exchange abbreviation",TRUE)</f>
        <v>#VALUE!</v>
      </c>
      <c r="G53" s="568">
        <f t="shared" si="2"/>
        <v>2.5499999999999998</v>
      </c>
      <c r="H53" s="564"/>
      <c r="I53" s="565"/>
      <c r="J53" s="565"/>
      <c r="K53" s="565"/>
      <c r="N53" s="565"/>
      <c r="O53" s="565">
        <v>0.85</v>
      </c>
      <c r="P53" s="565"/>
      <c r="Q53" s="565"/>
      <c r="S53" s="565">
        <v>0.85</v>
      </c>
      <c r="T53" s="565"/>
      <c r="U53" s="565"/>
      <c r="V53" s="544">
        <v>0.85</v>
      </c>
      <c r="W53" s="568">
        <f t="shared" si="3"/>
        <v>2.5499999999999998</v>
      </c>
      <c r="X53" s="689" t="e">
        <v>#VALUE!</v>
      </c>
      <c r="AC53" s="749">
        <f t="shared" si="4"/>
        <v>1.9134088692128758E-2</v>
      </c>
    </row>
    <row r="54" spans="1:30" ht="12.75" customHeight="1">
      <c r="B54" s="619">
        <f>H22</f>
        <v>25</v>
      </c>
      <c r="C54" s="621">
        <v>11</v>
      </c>
      <c r="D54" t="e" vm="4">
        <f t="array" ref="D54">_FV(E54,"Ticker symbol",TRUE)</f>
        <v>#VALUE!</v>
      </c>
      <c r="E54" s="589" t="e">
        <f>E22</f>
        <v>#VALUE!</v>
      </c>
      <c r="F54" s="597" t="e" vm="8">
        <f t="array" ref="F54">_FV(E54,"Exchange abbreviation",TRUE)</f>
        <v>#VALUE!</v>
      </c>
      <c r="G54" s="568">
        <f t="shared" si="2"/>
        <v>8.58</v>
      </c>
      <c r="H54" s="564"/>
      <c r="I54" s="565"/>
      <c r="J54" s="565"/>
      <c r="K54" s="565"/>
      <c r="N54" s="565">
        <v>1.79</v>
      </c>
      <c r="O54" s="565"/>
      <c r="P54" s="565"/>
      <c r="Q54" s="565">
        <v>1.78</v>
      </c>
      <c r="S54" s="565"/>
      <c r="T54" s="565"/>
      <c r="U54" s="565">
        <v>5.01</v>
      </c>
      <c r="V54" s="544"/>
      <c r="W54" s="568">
        <f t="shared" si="3"/>
        <v>8.58</v>
      </c>
      <c r="X54" s="689" t="e">
        <v>#VALUE!</v>
      </c>
      <c r="AC54" s="749">
        <f t="shared" si="4"/>
        <v>6.4380580775868529E-2</v>
      </c>
    </row>
    <row r="55" spans="1:30" ht="12.75" customHeight="1">
      <c r="B55" s="619">
        <f>H23</f>
        <v>0</v>
      </c>
      <c r="C55" s="621">
        <v>12</v>
      </c>
      <c r="D55" t="e" vm="4">
        <f t="array" ref="D55">_FV(E55,"Ticker symbol",TRUE)</f>
        <v>#VALUE!</v>
      </c>
      <c r="E55" s="588" t="e">
        <f>E23</f>
        <v>#VALUE!</v>
      </c>
      <c r="F55" s="597" t="e" vm="8">
        <f t="array" ref="F55">_FV(E55,"Exchange abbreviation",TRUE)</f>
        <v>#VALUE!</v>
      </c>
      <c r="G55" s="568">
        <f t="shared" si="2"/>
        <v>5.34</v>
      </c>
      <c r="H55" s="564"/>
      <c r="I55" s="565"/>
      <c r="J55" s="565"/>
      <c r="K55" s="565"/>
      <c r="N55" s="565"/>
      <c r="O55" s="565">
        <v>0.89</v>
      </c>
      <c r="P55" s="565"/>
      <c r="Q55" s="565"/>
      <c r="S55" s="565">
        <v>2.23</v>
      </c>
      <c r="T55" s="565"/>
      <c r="U55" s="565"/>
      <c r="V55" s="544">
        <v>2.2200000000000002</v>
      </c>
      <c r="W55" s="568">
        <f t="shared" si="3"/>
        <v>5.34</v>
      </c>
      <c r="X55" s="689" t="e">
        <v>#VALUE!</v>
      </c>
      <c r="AC55" s="749">
        <f t="shared" si="4"/>
        <v>4.0069032790575519E-2</v>
      </c>
    </row>
    <row r="56" spans="1:30" ht="12.75" customHeight="1">
      <c r="B56" s="619">
        <f>H10</f>
        <v>25</v>
      </c>
      <c r="C56" s="621">
        <v>13</v>
      </c>
      <c r="D56" t="e" vm="4">
        <f t="array" ref="D56">_FV(E56,"Ticker symbol",TRUE)</f>
        <v>#VALUE!</v>
      </c>
      <c r="E56" s="589" t="e">
        <f>E10</f>
        <v>#VALUE!</v>
      </c>
      <c r="F56" s="597" t="e" vm="8">
        <f t="array" ref="F56">_FV(E56,"Exchange abbreviation",TRUE)</f>
        <v>#VALUE!</v>
      </c>
      <c r="G56" s="568">
        <f t="shared" si="2"/>
        <v>5.8900000000000006</v>
      </c>
      <c r="H56" s="564"/>
      <c r="I56" s="565"/>
      <c r="J56" s="565"/>
      <c r="K56" s="565">
        <v>0.53</v>
      </c>
      <c r="N56" s="565"/>
      <c r="O56" s="565"/>
      <c r="P56" s="565">
        <v>2.62</v>
      </c>
      <c r="Q56" s="565"/>
      <c r="S56" s="565"/>
      <c r="T56" s="565">
        <v>2.74</v>
      </c>
      <c r="U56" s="565"/>
      <c r="V56" s="544"/>
      <c r="W56" s="568">
        <f t="shared" si="3"/>
        <v>5.8900000000000006</v>
      </c>
      <c r="X56" s="689" t="e">
        <v>#VALUE!</v>
      </c>
      <c r="AC56" s="749">
        <f t="shared" si="4"/>
        <v>4.4195993096720947E-2</v>
      </c>
    </row>
    <row r="57" spans="1:30" ht="12.75" customHeight="1">
      <c r="B57" s="619">
        <f>H11</f>
        <v>45</v>
      </c>
      <c r="C57" s="621">
        <v>14</v>
      </c>
      <c r="D57" t="e" vm="4">
        <f t="array" ref="D57">_FV(E57,"Ticker symbol",TRUE)</f>
        <v>#VALUE!</v>
      </c>
      <c r="E57" s="589" t="e">
        <f>E11</f>
        <v>#VALUE!</v>
      </c>
      <c r="F57" s="720" t="e" vm="8">
        <f t="array" ref="F57">_FV(E57,"Exchange abbreviation",TRUE)</f>
        <v>#VALUE!</v>
      </c>
      <c r="G57" s="568">
        <f t="shared" si="2"/>
        <v>1.8</v>
      </c>
      <c r="H57" s="721"/>
      <c r="I57" s="722"/>
      <c r="J57" s="722"/>
      <c r="K57" s="722"/>
      <c r="L57" s="723"/>
      <c r="M57" s="723"/>
      <c r="N57" s="722">
        <v>1.79</v>
      </c>
      <c r="O57" s="722"/>
      <c r="P57" s="722"/>
      <c r="Q57" s="722"/>
      <c r="R57" s="723"/>
      <c r="S57" s="722"/>
      <c r="T57" s="722"/>
      <c r="U57" s="722"/>
      <c r="V57" s="724">
        <v>0.01</v>
      </c>
      <c r="W57" s="568">
        <f t="shared" si="3"/>
        <v>1.8</v>
      </c>
      <c r="X57" s="689" t="e">
        <v>#VALUE!</v>
      </c>
      <c r="AC57" s="749">
        <f t="shared" si="4"/>
        <v>1.3506415547385008E-2</v>
      </c>
    </row>
    <row r="58" spans="1:30" ht="12.75" customHeight="1">
      <c r="B58" s="619">
        <f>H13</f>
        <v>50</v>
      </c>
      <c r="C58" s="621">
        <v>15</v>
      </c>
      <c r="D58" t="e" vm="4">
        <f t="array" ref="D58">_FV(E58,"Ticker symbol",TRUE)</f>
        <v>#VALUE!</v>
      </c>
      <c r="E58" s="589" t="e">
        <f>E13</f>
        <v>#VALUE!</v>
      </c>
      <c r="F58" s="720" t="e" vm="8">
        <f t="array" ref="F58">_FV(E58,"Exchange abbreviation",TRUE)</f>
        <v>#VALUE!</v>
      </c>
      <c r="G58" s="568">
        <f t="shared" si="2"/>
        <v>14.4</v>
      </c>
      <c r="H58" s="721"/>
      <c r="I58" s="722"/>
      <c r="J58" s="722"/>
      <c r="K58" s="722"/>
      <c r="L58" s="723"/>
      <c r="M58" s="723"/>
      <c r="N58" s="722"/>
      <c r="O58" s="722"/>
      <c r="P58" s="722">
        <v>7.15</v>
      </c>
      <c r="Q58" s="722"/>
      <c r="R58" s="723"/>
      <c r="S58" s="722"/>
      <c r="T58" s="722"/>
      <c r="U58" s="722"/>
      <c r="V58" s="724">
        <v>7.25</v>
      </c>
      <c r="W58" s="568">
        <f t="shared" si="3"/>
        <v>14.4</v>
      </c>
      <c r="X58" s="689" t="e">
        <v>#VALUE!</v>
      </c>
      <c r="AC58" s="749">
        <f t="shared" si="4"/>
        <v>0.10805132437908006</v>
      </c>
    </row>
    <row r="59" spans="1:30" ht="12.75" customHeight="1">
      <c r="A59" s="74"/>
      <c r="B59" s="620">
        <f>H12</f>
        <v>50</v>
      </c>
      <c r="C59" s="621">
        <v>17</v>
      </c>
      <c r="D59" t="e" vm="4">
        <f t="array" ref="D59">_FV(E59,"Ticker symbol",TRUE)</f>
        <v>#VALUE!</v>
      </c>
      <c r="E59" s="589" t="e">
        <f>E12</f>
        <v>#VALUE!</v>
      </c>
      <c r="F59" s="720" t="e" vm="8">
        <f t="array" ref="F59">_FV(E59,"Exchange abbreviation",TRUE)</f>
        <v>#VALUE!</v>
      </c>
      <c r="G59" s="568">
        <f t="shared" si="2"/>
        <v>2.76</v>
      </c>
      <c r="H59" s="721"/>
      <c r="I59" s="722"/>
      <c r="J59" s="722"/>
      <c r="K59" s="722"/>
      <c r="L59" s="725"/>
      <c r="M59" s="725"/>
      <c r="N59" s="722"/>
      <c r="O59" s="722"/>
      <c r="P59" s="722"/>
      <c r="Q59" s="722">
        <v>2.76</v>
      </c>
      <c r="R59" s="725"/>
      <c r="S59" s="722"/>
      <c r="T59" s="722"/>
      <c r="U59" s="722"/>
      <c r="V59" s="726"/>
      <c r="W59" s="568">
        <f t="shared" si="3"/>
        <v>2.76</v>
      </c>
      <c r="X59" s="689" t="e">
        <v>#VALUE!</v>
      </c>
      <c r="AC59" s="749">
        <f t="shared" si="4"/>
        <v>2.0709837172657009E-2</v>
      </c>
      <c r="AD59" s="74"/>
    </row>
    <row r="60" spans="1:30" ht="12.75" customHeight="1">
      <c r="B60" s="619">
        <f>H18</f>
        <v>50</v>
      </c>
      <c r="C60" s="621">
        <v>18</v>
      </c>
      <c r="D60" t="e" vm="4">
        <f t="array" ref="D60">_FV(E60,"Ticker symbol",TRUE)</f>
        <v>#VALUE!</v>
      </c>
      <c r="E60" s="589" t="e">
        <f>E18</f>
        <v>#VALUE!</v>
      </c>
      <c r="F60" s="720" t="e" vm="8">
        <f t="array" ref="F60">_FV(E60,"Exchange abbreviation",TRUE)</f>
        <v>#VALUE!</v>
      </c>
      <c r="G60" s="568">
        <f t="shared" si="2"/>
        <v>4.68</v>
      </c>
      <c r="H60" s="721"/>
      <c r="I60" s="722"/>
      <c r="J60" s="722"/>
      <c r="K60" s="722"/>
      <c r="L60" s="723"/>
      <c r="M60" s="723"/>
      <c r="N60" s="722"/>
      <c r="O60" s="722"/>
      <c r="P60" s="722">
        <v>4.68</v>
      </c>
      <c r="Q60" s="722"/>
      <c r="R60" s="723"/>
      <c r="S60" s="722"/>
      <c r="T60" s="722"/>
      <c r="U60" s="722"/>
      <c r="V60" s="724"/>
      <c r="W60" s="568">
        <f t="shared" si="3"/>
        <v>4.68</v>
      </c>
      <c r="X60" s="689" t="e">
        <v>#VALUE!</v>
      </c>
      <c r="AC60" s="749">
        <f t="shared" si="4"/>
        <v>3.5116680423201013E-2</v>
      </c>
    </row>
    <row r="61" spans="1:30" ht="12.75" customHeight="1">
      <c r="B61" s="619">
        <f>H14</f>
        <v>51</v>
      </c>
      <c r="C61" s="621">
        <v>19</v>
      </c>
      <c r="D61" t="e" vm="4">
        <f t="array" ref="D61">_FV(E61,"Ticker symbol",TRUE)</f>
        <v>#VALUE!</v>
      </c>
      <c r="E61" s="589" t="e">
        <f>E14</f>
        <v>#VALUE!</v>
      </c>
      <c r="F61" s="720" t="e" vm="8">
        <f t="array" ref="F61">_FV(E61,"Exchange abbreviation",TRUE)</f>
        <v>#VALUE!</v>
      </c>
      <c r="G61" s="568">
        <f t="shared" si="2"/>
        <v>0</v>
      </c>
      <c r="H61" s="721"/>
      <c r="I61" s="722"/>
      <c r="J61" s="722"/>
      <c r="K61" s="722"/>
      <c r="L61" s="723"/>
      <c r="M61" s="723"/>
      <c r="N61" s="722"/>
      <c r="O61" s="722"/>
      <c r="P61" s="722"/>
      <c r="Q61" s="722"/>
      <c r="R61" s="723"/>
      <c r="S61" s="722"/>
      <c r="T61" s="722"/>
      <c r="U61" s="722"/>
      <c r="V61" s="724"/>
      <c r="W61" s="568">
        <f t="shared" si="3"/>
        <v>0</v>
      </c>
      <c r="X61" s="689" t="e">
        <v>#VALUE!</v>
      </c>
      <c r="AC61" s="749">
        <f t="shared" si="4"/>
        <v>0</v>
      </c>
    </row>
    <row r="62" spans="1:30" ht="12.75" customHeight="1">
      <c r="B62" s="619">
        <f>H8</f>
        <v>30</v>
      </c>
      <c r="C62" s="621">
        <v>20</v>
      </c>
      <c r="D62" t="e" vm="4">
        <f t="array" ref="D62">_FV(E62,"Ticker symbol",TRUE)</f>
        <v>#VALUE!</v>
      </c>
      <c r="E62" s="589" t="e">
        <f>E8</f>
        <v>#VALUE!</v>
      </c>
      <c r="F62" s="720" t="e" vm="8">
        <f t="array" ref="F62">_FV(E62,"Exchange abbreviation",TRUE)</f>
        <v>#VALUE!</v>
      </c>
      <c r="G62" s="568">
        <f t="shared" si="2"/>
        <v>0</v>
      </c>
      <c r="H62" s="755"/>
      <c r="I62" s="756"/>
      <c r="J62" s="756"/>
      <c r="K62" s="756"/>
      <c r="L62" s="723"/>
      <c r="M62" s="723"/>
      <c r="N62" s="756"/>
      <c r="O62" s="756"/>
      <c r="P62" s="756"/>
      <c r="Q62" s="756"/>
      <c r="R62" s="723"/>
      <c r="S62" s="756"/>
      <c r="T62" s="756"/>
      <c r="U62" s="756"/>
      <c r="V62" s="757"/>
      <c r="W62" s="568">
        <f t="shared" si="3"/>
        <v>0</v>
      </c>
      <c r="X62" s="689" t="e">
        <v>#VALUE!</v>
      </c>
      <c r="AC62" s="749">
        <f t="shared" si="4"/>
        <v>0</v>
      </c>
    </row>
    <row r="63" spans="1:30" ht="13" customHeight="1">
      <c r="B63" s="619">
        <f>H20</f>
        <v>25</v>
      </c>
      <c r="C63" s="621">
        <v>21</v>
      </c>
      <c r="D63" t="e" vm="4">
        <f t="array" ref="D63">_FV(E88,"Ticker symbol",TRUE)</f>
        <v>#VALUE!</v>
      </c>
      <c r="G63" s="870"/>
      <c r="H63" s="566"/>
      <c r="I63" s="567"/>
      <c r="J63" s="567"/>
      <c r="K63" s="567"/>
      <c r="N63" s="567"/>
      <c r="O63" s="567"/>
      <c r="P63" s="567"/>
      <c r="Q63" s="567"/>
      <c r="S63" s="567"/>
      <c r="T63" s="567"/>
      <c r="U63" s="567"/>
      <c r="V63" s="546"/>
      <c r="W63" s="569"/>
      <c r="X63" s="689"/>
    </row>
    <row r="64" spans="1:30" ht="12.75" customHeight="1">
      <c r="B64" s="619">
        <f>H24</f>
        <v>20</v>
      </c>
      <c r="C64" s="621">
        <v>22</v>
      </c>
      <c r="D64" t="e" vm="4">
        <f t="array" ref="D64">_FV(E120,"Ticker symbol",TRUE)</f>
        <v>#VALUE!</v>
      </c>
      <c r="F64" s="589" t="s">
        <v>86</v>
      </c>
      <c r="G64" s="583">
        <f>SUM(H64:V64)</f>
        <v>133.27000000000001</v>
      </c>
      <c r="H64" s="535">
        <f>SUM(H44:H63)</f>
        <v>2.89</v>
      </c>
      <c r="I64" s="535">
        <f>SUM(I44:I63)</f>
        <v>0</v>
      </c>
      <c r="J64" s="535">
        <f>SUM(J44:J63)</f>
        <v>3.37</v>
      </c>
      <c r="K64" s="535">
        <f>SUM(K44:K63)</f>
        <v>1.05</v>
      </c>
      <c r="N64" s="535">
        <f>SUM(N44:N63)</f>
        <v>8.31</v>
      </c>
      <c r="O64" s="680">
        <f>SUM(O44:O63)</f>
        <v>21.830000000000002</v>
      </c>
      <c r="P64" s="535">
        <f>SUM(P44:P63)</f>
        <v>16.07</v>
      </c>
      <c r="Q64" s="535">
        <f>SUM(Q44:Q63)</f>
        <v>8.4699999999999989</v>
      </c>
      <c r="S64" s="680">
        <f>SUM(S44:S63)</f>
        <v>30.130000000000006</v>
      </c>
      <c r="T64" s="535">
        <f>SUM(T44:T63)</f>
        <v>5.2700000000000005</v>
      </c>
      <c r="U64" s="535">
        <f>SUM(U44:U63)</f>
        <v>9.0299999999999994</v>
      </c>
      <c r="V64" s="680">
        <f>SUM(V44:V63)</f>
        <v>26.850000000000005</v>
      </c>
      <c r="W64" s="570">
        <f>SUM(W44:W63)</f>
        <v>133.27000000000001</v>
      </c>
      <c r="X64" s="688"/>
    </row>
    <row r="65" spans="2:29" ht="12.75" customHeight="1">
      <c r="F65" s="254" t="s">
        <v>658</v>
      </c>
      <c r="G65" s="669">
        <f>SUM(G57:G61)</f>
        <v>23.64</v>
      </c>
      <c r="X65" s="688"/>
    </row>
    <row r="66" spans="2:29" ht="12.75" customHeight="1">
      <c r="F66" s="254" t="s">
        <v>659</v>
      </c>
      <c r="G66" s="669">
        <f>SUM(G44:G56)</f>
        <v>109.63</v>
      </c>
    </row>
    <row r="67" spans="2:29" ht="12.75" customHeight="1">
      <c r="B67" s="663">
        <f>SUM(B44:B66)</f>
        <v>673</v>
      </c>
    </row>
    <row r="68" spans="2:29" ht="12.75" customHeight="1">
      <c r="F68" s="254"/>
    </row>
    <row r="69" spans="2:29" ht="12.75" customHeight="1">
      <c r="C69" s="618" t="s">
        <v>660</v>
      </c>
      <c r="D69" s="347" t="s">
        <v>661</v>
      </c>
      <c r="I69" s="535"/>
      <c r="J69" s="535"/>
      <c r="N69" s="535"/>
      <c r="O69" s="535"/>
      <c r="P69" s="535"/>
      <c r="Q69" s="535"/>
    </row>
    <row r="70" spans="2:29" ht="12.75" customHeight="1">
      <c r="C70" s="618" t="s">
        <v>343</v>
      </c>
      <c r="D70" s="347" t="s">
        <v>662</v>
      </c>
      <c r="G70" s="791" t="s">
        <v>663</v>
      </c>
      <c r="H70" s="750"/>
      <c r="I70" s="788"/>
      <c r="J70" s="750"/>
      <c r="K70" s="789"/>
      <c r="L70" s="750"/>
      <c r="M70" s="750"/>
      <c r="N70" s="750">
        <v>0.93</v>
      </c>
      <c r="O70" s="750">
        <v>0.46</v>
      </c>
      <c r="P70" s="750">
        <v>1.4</v>
      </c>
      <c r="Q70" s="750">
        <v>1.59</v>
      </c>
      <c r="R70" s="789"/>
      <c r="S70" s="789">
        <v>1.92</v>
      </c>
      <c r="T70" s="750">
        <f>0.87+0.46+0.36</f>
        <v>1.69</v>
      </c>
      <c r="U70" s="750">
        <f>0.79+1.51+0.44</f>
        <v>2.7399999999999998</v>
      </c>
      <c r="V70" s="789">
        <f>0.38+0.46+0.72</f>
        <v>1.56</v>
      </c>
      <c r="W70" s="583">
        <f>SUM(H70:V70)</f>
        <v>12.290000000000001</v>
      </c>
    </row>
    <row r="71" spans="2:29" ht="12.75" customHeight="1">
      <c r="C71" s="618" t="s">
        <v>664</v>
      </c>
      <c r="D71" s="347" t="s">
        <v>665</v>
      </c>
      <c r="K71" s="535"/>
      <c r="R71" s="535"/>
    </row>
    <row r="72" spans="2:29" ht="25" customHeight="1">
      <c r="C72" s="618" t="s">
        <v>666</v>
      </c>
      <c r="D72" s="347" t="s">
        <v>667</v>
      </c>
      <c r="G72" s="862">
        <v>2024</v>
      </c>
      <c r="I72" s="571" t="s">
        <v>656</v>
      </c>
      <c r="J72" s="535"/>
      <c r="K72" s="535"/>
      <c r="N72" s="535"/>
      <c r="O72" s="535"/>
      <c r="P72" s="535"/>
      <c r="Q72" s="535"/>
    </row>
    <row r="73" spans="2:29" ht="12.75" customHeight="1">
      <c r="G73" s="563" t="s">
        <v>86</v>
      </c>
      <c r="H73" s="562" t="s">
        <v>76</v>
      </c>
      <c r="I73" s="562" t="s">
        <v>285</v>
      </c>
      <c r="J73" s="562" t="s">
        <v>218</v>
      </c>
      <c r="K73" s="562" t="s">
        <v>286</v>
      </c>
      <c r="N73" s="562" t="s">
        <v>219</v>
      </c>
      <c r="O73" s="562" t="s">
        <v>287</v>
      </c>
      <c r="P73" s="562" t="s">
        <v>220</v>
      </c>
      <c r="Q73" s="562" t="s">
        <v>288</v>
      </c>
      <c r="S73" s="562" t="s">
        <v>290</v>
      </c>
      <c r="T73" s="562" t="s">
        <v>221</v>
      </c>
      <c r="U73" s="562" t="s">
        <v>291</v>
      </c>
      <c r="V73" s="562" t="s">
        <v>222</v>
      </c>
      <c r="W73" s="563" t="s">
        <v>86</v>
      </c>
    </row>
    <row r="74" spans="2:29" ht="12.75" customHeight="1">
      <c r="H74" s="535"/>
      <c r="I74" s="535"/>
      <c r="J74" s="535"/>
      <c r="K74" s="535"/>
      <c r="N74" s="535"/>
      <c r="O74" s="535"/>
      <c r="P74" s="535"/>
      <c r="Q74" s="535"/>
      <c r="X74" s="688"/>
    </row>
    <row r="75" spans="2:29" ht="12.75" customHeight="1">
      <c r="E75" s="748" t="e">
        <f>E28</f>
        <v>#VALUE!</v>
      </c>
      <c r="F75" s="727" t="e" vm="8">
        <f t="array" ref="F75">_FV(E75,"Exchange abbreviation",TRUE)</f>
        <v>#VALUE!</v>
      </c>
      <c r="G75" s="568">
        <f t="shared" ref="G75:G94" si="5">SUM(H75:V75)</f>
        <v>35.56</v>
      </c>
      <c r="H75" s="728"/>
      <c r="I75" s="729"/>
      <c r="J75" s="729">
        <v>7.71</v>
      </c>
      <c r="K75" s="729"/>
      <c r="L75" s="594"/>
      <c r="M75" s="594"/>
      <c r="N75" s="729"/>
      <c r="O75" s="729">
        <v>9.1199999999999992</v>
      </c>
      <c r="P75" s="729"/>
      <c r="Q75" s="729"/>
      <c r="R75" s="594"/>
      <c r="S75" s="729">
        <v>8.66</v>
      </c>
      <c r="T75" s="729"/>
      <c r="U75" s="729"/>
      <c r="V75" s="730">
        <v>10.07</v>
      </c>
      <c r="W75" s="568">
        <f t="shared" ref="W75:W94" si="6">SUM(H75:V75)</f>
        <v>35.56</v>
      </c>
      <c r="X75" s="892" t="e">
        <v>#VALUE!</v>
      </c>
      <c r="AC75" s="749">
        <f t="shared" ref="AC75:AC94" si="7">W75/$W$96</f>
        <v>7.537571274137822E-2</v>
      </c>
    </row>
    <row r="76" spans="2:29" ht="12.75" customHeight="1">
      <c r="E76" s="748" t="e">
        <f>E29</f>
        <v>#VALUE!</v>
      </c>
      <c r="F76" s="727" t="e" vm="8">
        <f t="array" ref="F76">_FV(E76,"Exchange abbreviation",TRUE)</f>
        <v>#VALUE!</v>
      </c>
      <c r="G76" s="568">
        <f t="shared" si="5"/>
        <v>28.85</v>
      </c>
      <c r="H76" s="731"/>
      <c r="I76" s="732"/>
      <c r="J76" s="732">
        <v>3.13</v>
      </c>
      <c r="K76" s="732"/>
      <c r="L76" s="594"/>
      <c r="M76" s="594"/>
      <c r="N76" s="732"/>
      <c r="O76" s="732">
        <v>14.4</v>
      </c>
      <c r="P76" s="732"/>
      <c r="Q76" s="732"/>
      <c r="R76" s="594"/>
      <c r="S76" s="732">
        <v>11.32</v>
      </c>
      <c r="T76" s="732"/>
      <c r="U76" s="732"/>
      <c r="V76" s="641"/>
      <c r="W76" s="568">
        <f t="shared" si="6"/>
        <v>28.85</v>
      </c>
      <c r="X76" s="892" t="e">
        <v>#VALUE!</v>
      </c>
      <c r="AC76" s="749">
        <f t="shared" si="7"/>
        <v>6.1152680331517481E-2</v>
      </c>
    </row>
    <row r="77" spans="2:29" ht="12.75" customHeight="1">
      <c r="E77" s="748" t="e">
        <f>E30</f>
        <v>#VALUE!</v>
      </c>
      <c r="F77" s="727" t="e" vm="8">
        <f t="array" ref="F77">_FV(E77,"Exchange abbreviation",TRUE)</f>
        <v>#VALUE!</v>
      </c>
      <c r="G77" s="568">
        <f t="shared" si="5"/>
        <v>21.21</v>
      </c>
      <c r="H77" s="731"/>
      <c r="I77" s="732">
        <v>4.41</v>
      </c>
      <c r="J77" s="732"/>
      <c r="K77" s="732"/>
      <c r="L77" s="594"/>
      <c r="M77" s="594"/>
      <c r="N77" s="732">
        <v>5.76</v>
      </c>
      <c r="O77" s="732"/>
      <c r="P77" s="732"/>
      <c r="Q77" s="732">
        <v>5.67</v>
      </c>
      <c r="R77" s="594"/>
      <c r="S77" s="732"/>
      <c r="T77" s="732"/>
      <c r="U77" s="732">
        <v>5.37</v>
      </c>
      <c r="V77" s="641"/>
      <c r="W77" s="568">
        <f t="shared" si="6"/>
        <v>21.21</v>
      </c>
      <c r="X77" s="892" t="e">
        <v>#VALUE!</v>
      </c>
      <c r="AC77" s="749">
        <f t="shared" si="7"/>
        <v>4.4958348347711813E-2</v>
      </c>
    </row>
    <row r="78" spans="2:29" ht="12.75" customHeight="1">
      <c r="E78" s="748" t="e">
        <f>E27</f>
        <v>#VALUE!</v>
      </c>
      <c r="F78" s="727" t="s">
        <v>343</v>
      </c>
      <c r="G78" s="568">
        <f t="shared" si="5"/>
        <v>22.04</v>
      </c>
      <c r="H78" s="731">
        <v>3.82</v>
      </c>
      <c r="I78" s="732"/>
      <c r="J78" s="732">
        <v>2.5299999999999998</v>
      </c>
      <c r="K78" s="732"/>
      <c r="L78" s="594"/>
      <c r="M78" s="594"/>
      <c r="N78" s="732"/>
      <c r="O78" s="732">
        <v>7.53</v>
      </c>
      <c r="P78" s="732"/>
      <c r="Q78" s="732"/>
      <c r="R78" s="594"/>
      <c r="S78" s="732">
        <v>3.58</v>
      </c>
      <c r="T78" s="732"/>
      <c r="U78" s="732"/>
      <c r="V78" s="641">
        <v>4.58</v>
      </c>
      <c r="W78" s="568">
        <f t="shared" si="6"/>
        <v>22.04</v>
      </c>
      <c r="X78" s="892" t="e">
        <v>#VALUE!</v>
      </c>
      <c r="AC78" s="749">
        <f t="shared" si="7"/>
        <v>4.6717680225533631E-2</v>
      </c>
    </row>
    <row r="79" spans="2:29" ht="12.75" customHeight="1">
      <c r="E79" s="588" t="e">
        <f>E9</f>
        <v>#VALUE!</v>
      </c>
      <c r="F79" s="597" t="e" vm="8">
        <f t="array" ref="F79">_FV(E79,"Exchange abbreviation",TRUE)</f>
        <v>#VALUE!</v>
      </c>
      <c r="G79" s="568">
        <f t="shared" si="5"/>
        <v>9.17</v>
      </c>
      <c r="I79" s="565">
        <v>2.78</v>
      </c>
      <c r="J79" s="565"/>
      <c r="K79" s="565"/>
      <c r="N79" s="565">
        <v>2.78</v>
      </c>
      <c r="O79" s="565"/>
      <c r="P79" s="565"/>
      <c r="Q79" s="565">
        <v>1.8</v>
      </c>
      <c r="S79" s="565"/>
      <c r="T79" s="565"/>
      <c r="U79" s="565">
        <v>1.81</v>
      </c>
      <c r="V79" s="544"/>
      <c r="W79" s="568">
        <f t="shared" si="6"/>
        <v>9.17</v>
      </c>
      <c r="X79" s="689" t="e">
        <v>#VALUE!</v>
      </c>
      <c r="AC79" s="749">
        <f t="shared" si="7"/>
        <v>1.9437437734489263E-2</v>
      </c>
    </row>
    <row r="80" spans="2:29" ht="12.75" customHeight="1">
      <c r="E80" s="588" t="e">
        <f>E15</f>
        <v>#VALUE!</v>
      </c>
      <c r="F80" s="597" t="e" vm="8">
        <f t="array" ref="F80">_FV(E80,"Exchange abbreviation",TRUE)</f>
        <v>#VALUE!</v>
      </c>
      <c r="G80" s="568">
        <f t="shared" si="5"/>
        <v>3.19</v>
      </c>
      <c r="H80" s="564"/>
      <c r="I80" s="565"/>
      <c r="J80" s="565">
        <v>1.25</v>
      </c>
      <c r="K80" s="565"/>
      <c r="N80" s="565"/>
      <c r="O80" s="565">
        <v>1.1499999999999999</v>
      </c>
      <c r="P80" s="565"/>
      <c r="Q80" s="565"/>
      <c r="S80" s="565">
        <v>0.79</v>
      </c>
      <c r="T80" s="565"/>
      <c r="U80" s="565"/>
      <c r="V80" s="544"/>
      <c r="W80" s="568">
        <f t="shared" si="6"/>
        <v>3.19</v>
      </c>
      <c r="X80" s="689" t="e">
        <v>#VALUE!</v>
      </c>
      <c r="AC80" s="749">
        <f t="shared" si="7"/>
        <v>6.7617695063272362E-3</v>
      </c>
    </row>
    <row r="81" spans="5:29" ht="12.75" customHeight="1">
      <c r="E81" s="588" t="e">
        <f>E16</f>
        <v>#VALUE!</v>
      </c>
      <c r="F81" s="597" t="e" vm="8">
        <f t="array" ref="F81">_FV(E81,"Exchange abbreviation",TRUE)</f>
        <v>#VALUE!</v>
      </c>
      <c r="G81" s="568">
        <f t="shared" si="5"/>
        <v>16.71</v>
      </c>
      <c r="H81" s="564">
        <v>1.2</v>
      </c>
      <c r="I81" s="565"/>
      <c r="J81" s="565">
        <v>2.94</v>
      </c>
      <c r="K81" s="565">
        <v>3.2</v>
      </c>
      <c r="N81" s="565"/>
      <c r="O81" s="565">
        <v>3.12</v>
      </c>
      <c r="P81" s="565"/>
      <c r="Q81" s="565"/>
      <c r="S81" s="565">
        <v>3.04</v>
      </c>
      <c r="T81" s="565"/>
      <c r="U81" s="565"/>
      <c r="V81" s="544">
        <v>3.21</v>
      </c>
      <c r="W81" s="568">
        <f t="shared" si="6"/>
        <v>16.71</v>
      </c>
      <c r="X81" s="689" t="e">
        <v>#VALUE!</v>
      </c>
      <c r="AC81" s="749">
        <f t="shared" si="7"/>
        <v>3.5419802022171827E-2</v>
      </c>
    </row>
    <row r="82" spans="5:29" ht="12.75" customHeight="1">
      <c r="E82" s="588" t="e">
        <f>E17</f>
        <v>#VALUE!</v>
      </c>
      <c r="F82" s="597" t="e" vm="8">
        <f t="array" ref="F82">_FV(E82,"Exchange abbreviation",TRUE)</f>
        <v>#VALUE!</v>
      </c>
      <c r="G82" s="568">
        <f t="shared" si="5"/>
        <v>20.45</v>
      </c>
      <c r="H82" s="564"/>
      <c r="I82" s="565">
        <v>1.93</v>
      </c>
      <c r="J82" s="565">
        <v>1.93</v>
      </c>
      <c r="K82" s="565">
        <v>1.93</v>
      </c>
      <c r="N82" s="565">
        <v>1.93</v>
      </c>
      <c r="O82" s="565">
        <v>1.93</v>
      </c>
      <c r="P82" s="565">
        <v>1.93</v>
      </c>
      <c r="Q82" s="565">
        <v>1.93</v>
      </c>
      <c r="S82" s="565">
        <v>1.3</v>
      </c>
      <c r="T82" s="565">
        <v>1.84</v>
      </c>
      <c r="U82" s="565">
        <v>1.9</v>
      </c>
      <c r="V82" s="544">
        <v>1.9</v>
      </c>
      <c r="W82" s="568">
        <f t="shared" si="6"/>
        <v>20.45</v>
      </c>
      <c r="X82" s="689" t="e">
        <v>#VALUE!</v>
      </c>
      <c r="AC82" s="749">
        <f t="shared" si="7"/>
        <v>4.3347393857176168E-2</v>
      </c>
    </row>
    <row r="83" spans="5:29" ht="12.75" customHeight="1">
      <c r="E83" s="588" t="e">
        <f>E19</f>
        <v>#VALUE!</v>
      </c>
      <c r="F83" s="597" t="e" vm="8">
        <f t="array" ref="F83">_FV(E83,"Exchange abbreviation",TRUE)</f>
        <v>#VALUE!</v>
      </c>
      <c r="G83" s="568">
        <f t="shared" si="5"/>
        <v>10.18</v>
      </c>
      <c r="H83" s="564"/>
      <c r="I83" s="565"/>
      <c r="J83" s="565">
        <v>2.52</v>
      </c>
      <c r="K83" s="565"/>
      <c r="N83" s="565"/>
      <c r="O83" s="565">
        <v>2.5299999999999998</v>
      </c>
      <c r="P83" s="565"/>
      <c r="Q83" s="565"/>
      <c r="S83" s="565">
        <v>2.5099999999999998</v>
      </c>
      <c r="T83" s="565"/>
      <c r="U83" s="565"/>
      <c r="V83" s="544">
        <v>2.62</v>
      </c>
      <c r="W83" s="568">
        <f t="shared" si="6"/>
        <v>10.18</v>
      </c>
      <c r="X83" s="689" t="e">
        <v>#VALUE!</v>
      </c>
      <c r="AC83" s="749">
        <f t="shared" si="7"/>
        <v>2.1578311465332685E-2</v>
      </c>
    </row>
    <row r="84" spans="5:29" ht="12.75" customHeight="1">
      <c r="E84" s="588" t="e">
        <f>E21</f>
        <v>#VALUE!</v>
      </c>
      <c r="F84" s="597" t="e" vm="8">
        <f t="array" ref="F84">_FV(E84,"Exchange abbreviation",TRUE)</f>
        <v>#VALUE!</v>
      </c>
      <c r="G84" s="568">
        <f t="shared" si="5"/>
        <v>7.3599999999999994</v>
      </c>
      <c r="H84" s="564"/>
      <c r="I84" s="565"/>
      <c r="J84" s="565">
        <v>0.85</v>
      </c>
      <c r="K84" s="565"/>
      <c r="N84" s="565"/>
      <c r="O84" s="565">
        <v>2.15</v>
      </c>
      <c r="P84" s="565"/>
      <c r="Q84" s="565"/>
      <c r="S84" s="565">
        <v>2.17</v>
      </c>
      <c r="T84" s="565"/>
      <c r="U84" s="565"/>
      <c r="V84" s="544">
        <v>2.19</v>
      </c>
      <c r="W84" s="568">
        <f t="shared" si="6"/>
        <v>7.3599999999999994</v>
      </c>
      <c r="X84" s="689" t="e">
        <v>#VALUE!</v>
      </c>
      <c r="AC84" s="749">
        <f t="shared" si="7"/>
        <v>1.5600822434660957E-2</v>
      </c>
    </row>
    <row r="85" spans="5:29" ht="12.75" customHeight="1">
      <c r="E85" s="588" t="e">
        <f>E22</f>
        <v>#VALUE!</v>
      </c>
      <c r="F85" s="597" t="e" vm="8">
        <f t="array" ref="F85">_FV(E85,"Exchange abbreviation",TRUE)</f>
        <v>#VALUE!</v>
      </c>
      <c r="G85" s="568">
        <f t="shared" si="5"/>
        <v>26.310000000000002</v>
      </c>
      <c r="H85" s="564"/>
      <c r="I85" s="565">
        <v>5.32</v>
      </c>
      <c r="J85" s="565"/>
      <c r="K85" s="565"/>
      <c r="N85" s="565">
        <v>7.98</v>
      </c>
      <c r="O85" s="565"/>
      <c r="P85" s="565"/>
      <c r="Q85" s="565">
        <v>6.43</v>
      </c>
      <c r="S85" s="565"/>
      <c r="T85" s="565"/>
      <c r="U85" s="565">
        <v>6.58</v>
      </c>
      <c r="V85" s="544"/>
      <c r="W85" s="568">
        <f t="shared" si="6"/>
        <v>26.310000000000002</v>
      </c>
      <c r="X85" s="689" t="e">
        <v>#VALUE!</v>
      </c>
      <c r="AC85" s="749">
        <f t="shared" si="7"/>
        <v>5.5768700849990471E-2</v>
      </c>
    </row>
    <row r="86" spans="5:29" ht="12.75" customHeight="1">
      <c r="E86" s="588" t="e">
        <f>E23</f>
        <v>#VALUE!</v>
      </c>
      <c r="F86" s="597" t="e" vm="8">
        <f t="array" ref="F86">_FV(E86,"Exchange abbreviation",TRUE)</f>
        <v>#VALUE!</v>
      </c>
      <c r="G86" s="568">
        <f t="shared" si="5"/>
        <v>6.9</v>
      </c>
      <c r="H86" s="564"/>
      <c r="I86" s="565"/>
      <c r="J86" s="565">
        <v>1.25</v>
      </c>
      <c r="K86" s="565"/>
      <c r="N86" s="565"/>
      <c r="O86" s="565">
        <v>0.8</v>
      </c>
      <c r="P86" s="565"/>
      <c r="Q86" s="565"/>
      <c r="S86" s="565">
        <v>2.35</v>
      </c>
      <c r="T86" s="565"/>
      <c r="U86" s="565"/>
      <c r="V86" s="544">
        <v>2.5</v>
      </c>
      <c r="W86" s="568">
        <f t="shared" si="6"/>
        <v>6.9</v>
      </c>
      <c r="X86" s="689" t="e">
        <v>#VALUE!</v>
      </c>
      <c r="AC86" s="749">
        <f t="shared" si="7"/>
        <v>1.4625771032494649E-2</v>
      </c>
    </row>
    <row r="87" spans="5:29" ht="12.75" customHeight="1">
      <c r="E87" s="588" t="e">
        <f>E10</f>
        <v>#VALUE!</v>
      </c>
      <c r="F87" s="597" t="e" vm="8">
        <f t="array" ref="F87">_FV(E87,"Exchange abbreviation",TRUE)</f>
        <v>#VALUE!</v>
      </c>
      <c r="G87" s="568">
        <f t="shared" si="5"/>
        <v>9.98</v>
      </c>
      <c r="H87" s="564">
        <v>2.9</v>
      </c>
      <c r="I87" s="565"/>
      <c r="J87" s="565"/>
      <c r="K87" s="565">
        <v>3.1</v>
      </c>
      <c r="N87" s="565"/>
      <c r="O87" s="565"/>
      <c r="P87" s="565">
        <v>2</v>
      </c>
      <c r="Q87" s="565"/>
      <c r="S87" s="565"/>
      <c r="T87" s="565">
        <v>1.98</v>
      </c>
      <c r="U87" s="565"/>
      <c r="V87" s="544"/>
      <c r="W87" s="568">
        <f t="shared" si="6"/>
        <v>9.98</v>
      </c>
      <c r="X87" s="689" t="e">
        <v>#VALUE!</v>
      </c>
      <c r="AC87" s="749">
        <f t="shared" si="7"/>
        <v>2.1154376073086463E-2</v>
      </c>
    </row>
    <row r="88" spans="5:29" ht="12.75" customHeight="1">
      <c r="E88" s="588" t="e">
        <v>#VALUE!</v>
      </c>
      <c r="F88" s="597" t="e" vm="8">
        <f t="array" ref="F88">_FV(E88,"Exchange abbreviation",TRUE)</f>
        <v>#VALUE!</v>
      </c>
      <c r="G88" s="568">
        <f t="shared" si="5"/>
        <v>11.34</v>
      </c>
      <c r="H88" s="564"/>
      <c r="I88" s="565"/>
      <c r="J88" s="565"/>
      <c r="K88" s="565"/>
      <c r="N88" s="565"/>
      <c r="O88" s="565"/>
      <c r="P88" s="565"/>
      <c r="Q88" s="565">
        <v>5.7</v>
      </c>
      <c r="S88" s="565"/>
      <c r="T88" s="565">
        <v>5.64</v>
      </c>
      <c r="U88" s="565"/>
      <c r="V88" s="544"/>
      <c r="W88" s="568">
        <f t="shared" si="6"/>
        <v>11.34</v>
      </c>
      <c r="X88" s="689" t="e">
        <v>#VALUE!</v>
      </c>
      <c r="AC88" s="749">
        <f t="shared" si="7"/>
        <v>2.403713674036077E-2</v>
      </c>
    </row>
    <row r="89" spans="5:29" ht="12.75" customHeight="1">
      <c r="E89" s="869" t="e">
        <f>E11</f>
        <v>#VALUE!</v>
      </c>
      <c r="F89" s="720" t="e" vm="8">
        <f t="array" ref="F89">_FV(E89,"Exchange abbreviation",TRUE)</f>
        <v>#VALUE!</v>
      </c>
      <c r="G89" s="568">
        <f t="shared" si="5"/>
        <v>158.97</v>
      </c>
      <c r="H89" s="721"/>
      <c r="I89" s="722"/>
      <c r="J89" s="722"/>
      <c r="K89" s="722"/>
      <c r="L89" s="723"/>
      <c r="M89" s="723"/>
      <c r="N89" s="722"/>
      <c r="O89" s="722">
        <v>5.24</v>
      </c>
      <c r="P89" s="722"/>
      <c r="Q89" s="722"/>
      <c r="R89" s="723"/>
      <c r="S89" s="722"/>
      <c r="T89" s="722"/>
      <c r="U89" s="722"/>
      <c r="V89" s="724">
        <v>153.72999999999999</v>
      </c>
      <c r="W89" s="568">
        <f t="shared" si="6"/>
        <v>158.97</v>
      </c>
      <c r="X89" s="689" t="e">
        <v>#VALUE!</v>
      </c>
      <c r="AC89" s="749">
        <f t="shared" si="7"/>
        <v>0.33696504652690928</v>
      </c>
    </row>
    <row r="90" spans="5:29" ht="12.75" customHeight="1">
      <c r="E90" s="869" t="e">
        <f>E13</f>
        <v>#VALUE!</v>
      </c>
      <c r="F90" s="720" t="e" vm="8">
        <f t="array" ref="F90">_FV(E90,"Exchange abbreviation",TRUE)</f>
        <v>#VALUE!</v>
      </c>
      <c r="G90" s="568">
        <f t="shared" si="5"/>
        <v>32.659999999999997</v>
      </c>
      <c r="H90" s="721"/>
      <c r="I90" s="722"/>
      <c r="J90" s="722"/>
      <c r="K90" s="722"/>
      <c r="L90" s="723"/>
      <c r="M90" s="723"/>
      <c r="N90" s="722"/>
      <c r="O90" s="722"/>
      <c r="P90" s="722">
        <v>24.15</v>
      </c>
      <c r="Q90" s="722"/>
      <c r="R90" s="723"/>
      <c r="S90" s="722"/>
      <c r="T90" s="722"/>
      <c r="U90" s="722"/>
      <c r="V90" s="724">
        <v>8.51</v>
      </c>
      <c r="W90" s="568">
        <f t="shared" si="6"/>
        <v>32.659999999999997</v>
      </c>
      <c r="X90" s="689" t="e">
        <v>#VALUE!</v>
      </c>
      <c r="AC90" s="749">
        <f t="shared" si="7"/>
        <v>6.9228649553807989E-2</v>
      </c>
    </row>
    <row r="91" spans="5:29" ht="12.75" customHeight="1">
      <c r="E91" s="869" t="e">
        <f>E12</f>
        <v>#VALUE!</v>
      </c>
      <c r="F91" s="720" t="e" vm="8">
        <f t="array" ref="F91">_FV(E91,"Exchange abbreviation",TRUE)</f>
        <v>#VALUE!</v>
      </c>
      <c r="G91" s="568">
        <f t="shared" si="5"/>
        <v>28.68</v>
      </c>
      <c r="H91" s="721"/>
      <c r="I91" s="722"/>
      <c r="J91" s="722">
        <v>20.82</v>
      </c>
      <c r="K91" s="722"/>
      <c r="L91" s="725"/>
      <c r="M91" s="725"/>
      <c r="N91" s="722"/>
      <c r="O91" s="722"/>
      <c r="P91" s="722"/>
      <c r="Q91" s="722"/>
      <c r="R91" s="725"/>
      <c r="S91" s="722">
        <v>7.86</v>
      </c>
      <c r="T91" s="722"/>
      <c r="U91" s="722"/>
      <c r="V91" s="726"/>
      <c r="W91" s="568">
        <f t="shared" si="6"/>
        <v>28.68</v>
      </c>
      <c r="X91" s="689" t="e">
        <v>#VALUE!</v>
      </c>
      <c r="AC91" s="749">
        <f t="shared" si="7"/>
        <v>6.079233524810819E-2</v>
      </c>
    </row>
    <row r="92" spans="5:29" ht="12.75" customHeight="1">
      <c r="E92" s="869" t="e">
        <f>E18</f>
        <v>#VALUE!</v>
      </c>
      <c r="F92" s="720" t="e" vm="8">
        <f t="array" ref="F92">_FV(E92,"Exchange abbreviation",TRUE)</f>
        <v>#VALUE!</v>
      </c>
      <c r="G92" s="568">
        <f t="shared" si="5"/>
        <v>19.649999999999999</v>
      </c>
      <c r="H92" s="721">
        <v>3.2</v>
      </c>
      <c r="I92" s="722"/>
      <c r="J92" s="722"/>
      <c r="K92" s="722"/>
      <c r="L92" s="723"/>
      <c r="M92" s="723"/>
      <c r="N92" s="722"/>
      <c r="O92" s="722"/>
      <c r="P92" s="722">
        <v>16.45</v>
      </c>
      <c r="Q92" s="722"/>
      <c r="R92" s="723"/>
      <c r="S92" s="722"/>
      <c r="T92" s="722"/>
      <c r="U92" s="722"/>
      <c r="V92" s="724"/>
      <c r="W92" s="568">
        <f t="shared" si="6"/>
        <v>19.649999999999999</v>
      </c>
      <c r="X92" s="689" t="e">
        <v>#VALUE!</v>
      </c>
      <c r="AC92" s="749">
        <f t="shared" si="7"/>
        <v>4.1651652288191281E-2</v>
      </c>
    </row>
    <row r="93" spans="5:29" ht="12.75" customHeight="1">
      <c r="E93" s="869" t="e">
        <f>E14</f>
        <v>#VALUE!</v>
      </c>
      <c r="F93" s="720" t="e" vm="8">
        <f t="array" ref="F93">_FV(E93,"Exchange abbreviation",TRUE)</f>
        <v>#VALUE!</v>
      </c>
      <c r="G93" s="568">
        <f t="shared" si="5"/>
        <v>1.1299999999999999</v>
      </c>
      <c r="H93" s="721"/>
      <c r="I93" s="722">
        <v>1.1299999999999999</v>
      </c>
      <c r="J93" s="722"/>
      <c r="K93" s="722"/>
      <c r="L93" s="723"/>
      <c r="M93" s="723"/>
      <c r="N93" s="722"/>
      <c r="O93" s="722"/>
      <c r="P93" s="722"/>
      <c r="Q93" s="722"/>
      <c r="R93" s="723"/>
      <c r="S93" s="722"/>
      <c r="T93" s="722"/>
      <c r="U93" s="722"/>
      <c r="V93" s="724"/>
      <c r="W93" s="568">
        <f t="shared" si="6"/>
        <v>1.1299999999999999</v>
      </c>
      <c r="X93" s="689" t="e">
        <v>#VALUE!</v>
      </c>
      <c r="AC93" s="749">
        <f t="shared" si="7"/>
        <v>2.3952349661911523E-3</v>
      </c>
    </row>
    <row r="94" spans="5:29" ht="12.75" customHeight="1">
      <c r="E94" s="869" t="e">
        <f>E8</f>
        <v>#VALUE!</v>
      </c>
      <c r="F94" s="720" t="e" vm="8">
        <f t="array" ref="F94">_FV(E94,"Exchange abbreviation",TRUE)</f>
        <v>#VALUE!</v>
      </c>
      <c r="G94" s="568">
        <f t="shared" si="5"/>
        <v>1.43</v>
      </c>
      <c r="H94" s="755"/>
      <c r="I94" s="756">
        <v>1.43</v>
      </c>
      <c r="J94" s="756"/>
      <c r="K94" s="756"/>
      <c r="L94" s="723"/>
      <c r="M94" s="723"/>
      <c r="N94" s="756"/>
      <c r="O94" s="756"/>
      <c r="P94" s="756"/>
      <c r="Q94" s="756"/>
      <c r="R94" s="723"/>
      <c r="S94" s="756"/>
      <c r="T94" s="756"/>
      <c r="U94" s="756"/>
      <c r="V94" s="757"/>
      <c r="W94" s="568">
        <f t="shared" si="6"/>
        <v>1.43</v>
      </c>
      <c r="X94" s="689" t="e">
        <v>#VALUE!</v>
      </c>
      <c r="AC94" s="749">
        <f t="shared" si="7"/>
        <v>3.0311380545604851E-3</v>
      </c>
    </row>
    <row r="95" spans="5:29" ht="12.75" customHeight="1">
      <c r="G95" s="870"/>
      <c r="H95" s="566"/>
      <c r="I95" s="567"/>
      <c r="J95" s="567"/>
      <c r="K95" s="567"/>
      <c r="N95" s="567"/>
      <c r="O95" s="567"/>
      <c r="P95" s="567"/>
      <c r="Q95" s="567"/>
      <c r="S95" s="567"/>
      <c r="T95" s="567"/>
      <c r="U95" s="567"/>
      <c r="V95" s="546"/>
      <c r="W95" s="569"/>
      <c r="X95" s="689"/>
    </row>
    <row r="96" spans="5:29" ht="12.75" customHeight="1">
      <c r="F96" s="589" t="s">
        <v>86</v>
      </c>
      <c r="G96" s="583">
        <f>SUM(H96:V96)</f>
        <v>471.77</v>
      </c>
      <c r="H96" s="535">
        <f>SUM(H75:H95)</f>
        <v>11.120000000000001</v>
      </c>
      <c r="I96" s="535">
        <f>SUM(I75:I95)</f>
        <v>17</v>
      </c>
      <c r="J96" s="535">
        <f>SUM(J75:J95)</f>
        <v>44.93</v>
      </c>
      <c r="K96" s="535">
        <f>SUM(K75:K95)</f>
        <v>8.23</v>
      </c>
      <c r="N96" s="535">
        <f>SUM(N75:N95)</f>
        <v>18.45</v>
      </c>
      <c r="O96" s="535">
        <f>SUM(O75:O95)</f>
        <v>47.97</v>
      </c>
      <c r="P96" s="535">
        <f>SUM(P75:P95)</f>
        <v>44.53</v>
      </c>
      <c r="Q96" s="535">
        <f>SUM(Q75:Q95)</f>
        <v>21.53</v>
      </c>
      <c r="S96" s="535">
        <f>SUM(S75:S95)</f>
        <v>43.580000000000005</v>
      </c>
      <c r="T96" s="535">
        <f>SUM(T75:T95)</f>
        <v>9.4600000000000009</v>
      </c>
      <c r="U96" s="535">
        <f>SUM(U75:U95)</f>
        <v>15.66</v>
      </c>
      <c r="V96" s="535">
        <f>SUM(V75:V95)</f>
        <v>189.30999999999997</v>
      </c>
      <c r="W96" s="570">
        <f>SUM(W75:W95)</f>
        <v>471.77</v>
      </c>
      <c r="X96" s="688"/>
    </row>
    <row r="97" spans="5:29" ht="12.75" customHeight="1">
      <c r="F97" s="254" t="s">
        <v>658</v>
      </c>
      <c r="G97" s="669">
        <f>SUM(G89:G94)</f>
        <v>242.52</v>
      </c>
      <c r="X97" s="688"/>
    </row>
    <row r="98" spans="5:29" ht="12.75" customHeight="1">
      <c r="F98" s="254" t="s">
        <v>659</v>
      </c>
      <c r="G98" s="669">
        <f>SUM(G75:G88)</f>
        <v>229.24999999999997</v>
      </c>
    </row>
    <row r="99" spans="5:29" ht="12.75" customHeight="1">
      <c r="F99" s="254"/>
    </row>
    <row r="100" spans="5:29" ht="12.75" customHeight="1">
      <c r="I100" s="535"/>
      <c r="J100" s="535"/>
      <c r="N100" s="535"/>
      <c r="O100" s="535"/>
      <c r="P100" s="535"/>
      <c r="Q100" s="535"/>
    </row>
    <row r="103" spans="5:29" ht="25" customHeight="1">
      <c r="G103" s="862">
        <v>2025</v>
      </c>
      <c r="I103" s="571"/>
      <c r="J103" s="535"/>
      <c r="K103" s="535"/>
      <c r="N103" s="535"/>
      <c r="O103" s="535"/>
      <c r="P103" s="535"/>
      <c r="Q103" s="535"/>
    </row>
    <row r="104" spans="5:29" ht="12.75" customHeight="1">
      <c r="G104" s="563" t="s">
        <v>86</v>
      </c>
      <c r="H104" s="562" t="s">
        <v>76</v>
      </c>
      <c r="I104" s="562" t="s">
        <v>285</v>
      </c>
      <c r="J104" s="562" t="s">
        <v>218</v>
      </c>
      <c r="K104" s="562" t="s">
        <v>286</v>
      </c>
      <c r="N104" s="562" t="s">
        <v>219</v>
      </c>
      <c r="O104" s="562" t="s">
        <v>287</v>
      </c>
      <c r="P104" s="562" t="s">
        <v>220</v>
      </c>
      <c r="Q104" s="562" t="s">
        <v>288</v>
      </c>
      <c r="S104" s="562" t="s">
        <v>290</v>
      </c>
      <c r="T104" s="562" t="s">
        <v>221</v>
      </c>
      <c r="U104" s="562" t="s">
        <v>291</v>
      </c>
      <c r="V104" s="562" t="s">
        <v>222</v>
      </c>
      <c r="W104" s="563" t="s">
        <v>86</v>
      </c>
    </row>
    <row r="105" spans="5:29" ht="12.75" customHeight="1">
      <c r="H105" s="535"/>
      <c r="I105" s="535"/>
      <c r="J105" s="535"/>
      <c r="K105" s="535"/>
      <c r="N105" s="535"/>
      <c r="O105" s="535"/>
      <c r="P105" s="535"/>
      <c r="Q105" s="535"/>
      <c r="X105" s="688"/>
    </row>
    <row r="106" spans="5:29" ht="12.75" customHeight="1" thickBot="1">
      <c r="E106" s="748" t="e">
        <f>E28</f>
        <v>#VALUE!</v>
      </c>
      <c r="F106" s="727" t="e" vm="8">
        <f t="array" ref="F106">_FV(E106,"Exchange abbreviation",TRUE)</f>
        <v>#VALUE!</v>
      </c>
      <c r="G106" s="568">
        <f t="shared" ref="G106:G126" si="8">SUM(H106:V106)</f>
        <v>53.31</v>
      </c>
      <c r="H106" s="728"/>
      <c r="I106" s="921"/>
      <c r="J106" s="926">
        <v>8.9499999999999993</v>
      </c>
      <c r="K106" s="728"/>
      <c r="L106" s="594"/>
      <c r="M106" s="594"/>
      <c r="N106" s="921"/>
      <c r="O106" s="926">
        <v>14.44</v>
      </c>
      <c r="P106" s="728"/>
      <c r="Q106" s="729"/>
      <c r="R106" s="594"/>
      <c r="S106" s="926">
        <v>12.31</v>
      </c>
      <c r="T106" s="728"/>
      <c r="U106" s="921"/>
      <c r="V106" s="926">
        <v>17.61</v>
      </c>
      <c r="W106" s="962">
        <f t="shared" ref="W106:W126" si="9">SUM(H106:V106)</f>
        <v>53.31</v>
      </c>
      <c r="X106" s="892" t="e">
        <v>#VALUE!</v>
      </c>
      <c r="AC106" s="749">
        <f t="shared" ref="AC106:AC126" si="10">W106/$W$96</f>
        <v>0.1129999788032304</v>
      </c>
    </row>
    <row r="107" spans="5:29" ht="12.75" customHeight="1" thickBot="1">
      <c r="E107" s="748" t="e">
        <f>E29</f>
        <v>#VALUE!</v>
      </c>
      <c r="F107" s="727" t="e" vm="8">
        <f t="array" ref="F107">_FV(E107,"Exchange abbreviation",TRUE)</f>
        <v>#VALUE!</v>
      </c>
      <c r="G107" s="568">
        <f t="shared" si="8"/>
        <v>44.699999999999996</v>
      </c>
      <c r="H107" s="731"/>
      <c r="I107" s="923"/>
      <c r="J107" s="927">
        <v>3.55</v>
      </c>
      <c r="K107" s="732"/>
      <c r="L107" s="594"/>
      <c r="M107" s="594"/>
      <c r="N107" s="732"/>
      <c r="O107" s="926">
        <v>18.13</v>
      </c>
      <c r="P107" s="732"/>
      <c r="Q107" s="732"/>
      <c r="R107" s="594"/>
      <c r="S107" s="926">
        <v>16.23</v>
      </c>
      <c r="T107" s="732"/>
      <c r="U107" s="732"/>
      <c r="V107" s="926">
        <v>6.79</v>
      </c>
      <c r="W107" s="963">
        <f t="shared" si="9"/>
        <v>44.699999999999996</v>
      </c>
      <c r="X107" s="892" t="e">
        <v>#VALUE!</v>
      </c>
      <c r="AC107" s="749">
        <f t="shared" si="10"/>
        <v>9.4749560167030539E-2</v>
      </c>
    </row>
    <row r="108" spans="5:29" ht="12.75" customHeight="1" thickBot="1">
      <c r="E108" s="748" t="e">
        <f>E30</f>
        <v>#VALUE!</v>
      </c>
      <c r="F108" s="727" t="e" vm="8">
        <f t="array" ref="F108">_FV(E108,"Exchange abbreviation",TRUE)</f>
        <v>#VALUE!</v>
      </c>
      <c r="G108" s="568">
        <f t="shared" si="8"/>
        <v>32.14</v>
      </c>
      <c r="H108" s="922"/>
      <c r="I108" s="926">
        <v>6.21</v>
      </c>
      <c r="J108" s="731"/>
      <c r="K108" s="732"/>
      <c r="L108" s="594"/>
      <c r="M108" s="594"/>
      <c r="N108" s="926">
        <v>8.5500000000000007</v>
      </c>
      <c r="O108" s="732"/>
      <c r="P108" s="732"/>
      <c r="Q108" s="926">
        <v>9.1300000000000008</v>
      </c>
      <c r="R108" s="594"/>
      <c r="S108" s="732"/>
      <c r="T108" s="732"/>
      <c r="U108" s="926">
        <v>8.25</v>
      </c>
      <c r="V108" s="641"/>
      <c r="W108" s="963">
        <f t="shared" si="9"/>
        <v>32.14</v>
      </c>
      <c r="X108" s="892" t="e">
        <v>#VALUE!</v>
      </c>
      <c r="AC108" s="749">
        <f t="shared" si="10"/>
        <v>6.8126417533967823E-2</v>
      </c>
    </row>
    <row r="109" spans="5:29" ht="12.75" customHeight="1" thickBot="1">
      <c r="E109" s="748" t="e">
        <f>E27</f>
        <v>#VALUE!</v>
      </c>
      <c r="F109" s="727" t="s">
        <v>343</v>
      </c>
      <c r="G109" s="568">
        <f t="shared" si="8"/>
        <v>19.169999999999998</v>
      </c>
      <c r="H109" s="731"/>
      <c r="I109" s="924"/>
      <c r="J109" s="926">
        <v>2.91</v>
      </c>
      <c r="K109" s="732"/>
      <c r="L109" s="594"/>
      <c r="M109" s="594"/>
      <c r="N109" s="732"/>
      <c r="O109" s="926">
        <v>8.92</v>
      </c>
      <c r="P109" s="732"/>
      <c r="Q109" s="732"/>
      <c r="R109" s="594"/>
      <c r="S109" s="926">
        <v>3.3</v>
      </c>
      <c r="T109" s="732"/>
      <c r="U109" s="732"/>
      <c r="V109" s="926">
        <v>4.04</v>
      </c>
      <c r="W109" s="963">
        <f t="shared" si="9"/>
        <v>19.169999999999998</v>
      </c>
      <c r="X109" s="892" t="e">
        <v>#VALUE!</v>
      </c>
      <c r="AC109" s="749">
        <f t="shared" si="10"/>
        <v>4.0634207346800344E-2</v>
      </c>
    </row>
    <row r="110" spans="5:29" ht="12.75" customHeight="1" thickBot="1">
      <c r="E110" s="588" t="e">
        <f>E9</f>
        <v>#VALUE!</v>
      </c>
      <c r="F110" s="597" t="e" vm="8">
        <f t="array" ref="F110">_FV(E110,"Exchange abbreviation",TRUE)</f>
        <v>#VALUE!</v>
      </c>
      <c r="G110" s="568">
        <f t="shared" si="8"/>
        <v>11.14</v>
      </c>
      <c r="I110" s="928">
        <v>1.9</v>
      </c>
      <c r="J110" s="564"/>
      <c r="K110" s="565"/>
      <c r="N110" s="928">
        <v>2.58</v>
      </c>
      <c r="O110" s="565"/>
      <c r="P110" s="565"/>
      <c r="Q110" s="928">
        <v>3.32</v>
      </c>
      <c r="S110" s="565"/>
      <c r="T110" s="565"/>
      <c r="U110" s="928">
        <v>3.34</v>
      </c>
      <c r="V110" s="544"/>
      <c r="W110" s="963">
        <f t="shared" si="9"/>
        <v>11.14</v>
      </c>
      <c r="X110" s="689" t="e">
        <v>#VALUE!</v>
      </c>
      <c r="AC110" s="749">
        <f t="shared" si="10"/>
        <v>2.3613201348114548E-2</v>
      </c>
    </row>
    <row r="111" spans="5:29" ht="12.75" customHeight="1" thickBot="1">
      <c r="E111" s="588" t="e">
        <f>E15</f>
        <v>#VALUE!</v>
      </c>
      <c r="F111" s="597" t="e" vm="8">
        <f t="array" ref="F111">_FV(E111,"Exchange abbreviation",TRUE)</f>
        <v>#VALUE!</v>
      </c>
      <c r="G111" s="568">
        <f t="shared" si="8"/>
        <v>0</v>
      </c>
      <c r="H111" s="564"/>
      <c r="I111" s="925"/>
      <c r="J111" s="564"/>
      <c r="K111" s="565"/>
      <c r="N111" s="565"/>
      <c r="O111" s="565"/>
      <c r="P111" s="565"/>
      <c r="Q111" s="565"/>
      <c r="S111" s="565"/>
      <c r="T111" s="565"/>
      <c r="U111" s="565"/>
      <c r="V111" s="565"/>
      <c r="W111" s="963">
        <f t="shared" si="9"/>
        <v>0</v>
      </c>
      <c r="X111" s="689" t="e">
        <v>#VALUE!</v>
      </c>
      <c r="AC111" s="749">
        <f t="shared" si="10"/>
        <v>0</v>
      </c>
    </row>
    <row r="112" spans="5:29" ht="12.75" customHeight="1" thickBot="1">
      <c r="E112" s="588" t="e">
        <f>E16</f>
        <v>#VALUE!</v>
      </c>
      <c r="F112" s="597" t="e" vm="8">
        <f t="array" ref="F112">_FV(E112,"Exchange abbreviation",TRUE)</f>
        <v>#VALUE!</v>
      </c>
      <c r="G112" s="568">
        <f t="shared" si="8"/>
        <v>17.099999999999998</v>
      </c>
      <c r="H112" s="564"/>
      <c r="I112" s="565"/>
      <c r="J112" s="928">
        <v>3.84</v>
      </c>
      <c r="K112" s="565"/>
      <c r="N112" s="565"/>
      <c r="O112" s="928">
        <v>3.65</v>
      </c>
      <c r="P112" s="565"/>
      <c r="Q112" s="565"/>
      <c r="S112" s="928">
        <v>4.8</v>
      </c>
      <c r="T112" s="565"/>
      <c r="U112" s="565"/>
      <c r="V112" s="928">
        <v>4.8099999999999996</v>
      </c>
      <c r="W112" s="963">
        <f t="shared" si="9"/>
        <v>17.099999999999998</v>
      </c>
      <c r="X112" s="689" t="e">
        <v>#VALUE!</v>
      </c>
      <c r="AC112" s="749">
        <f t="shared" si="10"/>
        <v>3.6246476037051951E-2</v>
      </c>
    </row>
    <row r="113" spans="5:29" ht="12.75" customHeight="1">
      <c r="E113" s="588" t="e">
        <f>E17</f>
        <v>#VALUE!</v>
      </c>
      <c r="F113" s="597" t="e" vm="8">
        <f t="array" ref="F113">_FV(E113,"Exchange abbreviation",TRUE)</f>
        <v>#VALUE!</v>
      </c>
      <c r="G113" s="568">
        <f t="shared" si="8"/>
        <v>24.269999999999996</v>
      </c>
      <c r="H113" s="928">
        <v>1.9</v>
      </c>
      <c r="I113" s="928">
        <v>1.7</v>
      </c>
      <c r="J113" s="928">
        <v>1.74</v>
      </c>
      <c r="K113" s="928">
        <v>1.75</v>
      </c>
      <c r="N113" s="928">
        <v>1.75</v>
      </c>
      <c r="O113" s="928">
        <v>1.75</v>
      </c>
      <c r="P113" s="928">
        <v>2.2999999999999998</v>
      </c>
      <c r="Q113" s="928">
        <v>2.29</v>
      </c>
      <c r="S113" s="928">
        <v>2.2599999999999998</v>
      </c>
      <c r="T113" s="928">
        <v>2.2599999999999998</v>
      </c>
      <c r="U113" s="928">
        <v>2.31</v>
      </c>
      <c r="V113" s="928">
        <v>2.2599999999999998</v>
      </c>
      <c r="W113" s="963">
        <f t="shared" si="9"/>
        <v>24.269999999999996</v>
      </c>
      <c r="X113" s="689" t="e">
        <v>#VALUE!</v>
      </c>
      <c r="AC113" s="749">
        <f t="shared" si="10"/>
        <v>5.1444559849078995E-2</v>
      </c>
    </row>
    <row r="114" spans="5:29" ht="12.75" customHeight="1">
      <c r="E114" s="588" t="e">
        <f>E19</f>
        <v>#VALUE!</v>
      </c>
      <c r="F114" s="597" t="e" vm="8">
        <f t="array" ref="F114">_FV(E114,"Exchange abbreviation",TRUE)</f>
        <v>#VALUE!</v>
      </c>
      <c r="G114" s="568">
        <f t="shared" si="8"/>
        <v>20.58</v>
      </c>
      <c r="H114" s="564"/>
      <c r="I114" s="565"/>
      <c r="J114" s="928">
        <v>5.12</v>
      </c>
      <c r="K114" s="565"/>
      <c r="N114" s="565"/>
      <c r="O114" s="928">
        <v>4.7</v>
      </c>
      <c r="P114" s="565"/>
      <c r="Q114" s="565"/>
      <c r="S114" s="928">
        <v>4.6100000000000003</v>
      </c>
      <c r="T114" s="565"/>
      <c r="U114" s="565"/>
      <c r="V114" s="928">
        <v>6.15</v>
      </c>
      <c r="W114" s="963">
        <f t="shared" si="9"/>
        <v>20.58</v>
      </c>
      <c r="X114" s="689" t="e">
        <v>#VALUE!</v>
      </c>
      <c r="AC114" s="749">
        <f t="shared" si="10"/>
        <v>4.362295186213621E-2</v>
      </c>
    </row>
    <row r="115" spans="5:29" ht="12.75" customHeight="1">
      <c r="E115" s="588" t="e">
        <f>E21</f>
        <v>#VALUE!</v>
      </c>
      <c r="F115" s="597" t="e" vm="8">
        <f t="array" ref="F115">_FV(E115,"Exchange abbreviation",TRUE)</f>
        <v>#VALUE!</v>
      </c>
      <c r="G115" s="568">
        <f t="shared" si="8"/>
        <v>31.64</v>
      </c>
      <c r="H115" s="564"/>
      <c r="I115" s="565"/>
      <c r="J115" s="928">
        <v>4.58</v>
      </c>
      <c r="K115" s="565"/>
      <c r="N115" s="565"/>
      <c r="O115" s="928">
        <v>9.06</v>
      </c>
      <c r="P115" s="565"/>
      <c r="Q115" s="565"/>
      <c r="S115" s="928">
        <v>9.1</v>
      </c>
      <c r="T115" s="565"/>
      <c r="U115" s="565"/>
      <c r="V115" s="928">
        <v>8.9</v>
      </c>
      <c r="W115" s="963">
        <f t="shared" si="9"/>
        <v>31.64</v>
      </c>
      <c r="X115" s="689" t="e">
        <v>#VALUE!</v>
      </c>
      <c r="AC115" s="749">
        <f t="shared" si="10"/>
        <v>6.7066579053352268E-2</v>
      </c>
    </row>
    <row r="116" spans="5:29" ht="12.75" customHeight="1">
      <c r="E116" s="588" t="e">
        <f>E22</f>
        <v>#VALUE!</v>
      </c>
      <c r="F116" s="597" t="e" vm="8">
        <f t="array" ref="F116">_FV(E116,"Exchange abbreviation",TRUE)</f>
        <v>#VALUE!</v>
      </c>
      <c r="G116" s="568">
        <f t="shared" si="8"/>
        <v>33.85</v>
      </c>
      <c r="H116" s="564"/>
      <c r="I116" s="928">
        <v>6.94</v>
      </c>
      <c r="J116" s="565"/>
      <c r="K116" s="565"/>
      <c r="N116" s="928">
        <v>8.4</v>
      </c>
      <c r="O116" s="565"/>
      <c r="P116" s="565"/>
      <c r="Q116" s="928">
        <v>8.11</v>
      </c>
      <c r="S116" s="565"/>
      <c r="T116" s="565"/>
      <c r="U116" s="928">
        <v>10.4</v>
      </c>
      <c r="V116" s="544"/>
      <c r="W116" s="963">
        <f t="shared" si="9"/>
        <v>33.85</v>
      </c>
      <c r="X116" s="689" t="e">
        <v>#VALUE!</v>
      </c>
      <c r="AC116" s="749">
        <f t="shared" si="10"/>
        <v>7.1751065137673029E-2</v>
      </c>
    </row>
    <row r="117" spans="5:29" ht="12.75" customHeight="1">
      <c r="E117" s="588" t="e">
        <f>E23</f>
        <v>#VALUE!</v>
      </c>
      <c r="F117" s="597" t="e" vm="8">
        <f t="array" ref="F117">_FV(E117,"Exchange abbreviation",TRUE)</f>
        <v>#VALUE!</v>
      </c>
      <c r="G117" s="568">
        <f t="shared" si="8"/>
        <v>0</v>
      </c>
      <c r="H117" s="564"/>
      <c r="I117" s="565"/>
      <c r="J117" s="565"/>
      <c r="K117" s="565"/>
      <c r="N117" s="565"/>
      <c r="O117" s="565"/>
      <c r="P117" s="565"/>
      <c r="Q117" s="565"/>
      <c r="S117" s="565"/>
      <c r="T117" s="565"/>
      <c r="U117" s="565"/>
      <c r="V117" s="544"/>
      <c r="W117" s="963">
        <f t="shared" si="9"/>
        <v>0</v>
      </c>
      <c r="X117" s="689" t="e">
        <v>#VALUE!</v>
      </c>
      <c r="AC117" s="749">
        <f t="shared" si="10"/>
        <v>0</v>
      </c>
    </row>
    <row r="118" spans="5:29" ht="12.75" customHeight="1" thickBot="1">
      <c r="E118" s="588" t="e">
        <f>E10</f>
        <v>#VALUE!</v>
      </c>
      <c r="F118" s="597" t="e" vm="8">
        <f t="array" ref="F118">_FV(E118,"Exchange abbreviation",TRUE)</f>
        <v>#VALUE!</v>
      </c>
      <c r="G118" s="568">
        <f t="shared" si="8"/>
        <v>14.08</v>
      </c>
      <c r="H118" s="928">
        <v>2.12</v>
      </c>
      <c r="I118" s="565"/>
      <c r="J118" s="565"/>
      <c r="K118" s="928">
        <v>4.0999999999999996</v>
      </c>
      <c r="N118" s="565"/>
      <c r="O118" s="565"/>
      <c r="P118" s="928">
        <v>3.93</v>
      </c>
      <c r="Q118" s="565"/>
      <c r="S118" s="565"/>
      <c r="T118" s="928">
        <v>3.93</v>
      </c>
      <c r="U118" s="565"/>
      <c r="V118" s="544"/>
      <c r="W118" s="963">
        <f t="shared" si="9"/>
        <v>14.08</v>
      </c>
      <c r="X118" s="689" t="e">
        <v>#VALUE!</v>
      </c>
      <c r="AC118" s="749">
        <f t="shared" si="10"/>
        <v>2.9845051614134008E-2</v>
      </c>
    </row>
    <row r="119" spans="5:29" ht="12.75" customHeight="1" thickBot="1">
      <c r="E119" s="588" t="e">
        <v>#VALUE!</v>
      </c>
      <c r="F119" s="597" t="e" vm="8">
        <f t="array" ref="F119">_FV(E119,"Exchange abbreviation",TRUE)</f>
        <v>#VALUE!</v>
      </c>
      <c r="G119" s="568">
        <f t="shared" si="8"/>
        <v>16.66</v>
      </c>
      <c r="H119" s="564"/>
      <c r="I119" s="565"/>
      <c r="J119" s="565"/>
      <c r="K119" s="928">
        <v>5.85</v>
      </c>
      <c r="N119" s="565"/>
      <c r="O119" s="565"/>
      <c r="P119" s="565"/>
      <c r="Q119" s="565"/>
      <c r="S119" s="565"/>
      <c r="T119" s="565"/>
      <c r="U119" s="565"/>
      <c r="V119" s="928">
        <v>10.81</v>
      </c>
      <c r="W119" s="963">
        <f t="shared" si="9"/>
        <v>16.66</v>
      </c>
      <c r="X119" s="689" t="e">
        <v>#VALUE!</v>
      </c>
      <c r="AC119" s="749">
        <f t="shared" si="10"/>
        <v>3.5313818174110265E-2</v>
      </c>
    </row>
    <row r="120" spans="5:29" ht="12.75" customHeight="1" thickBot="1">
      <c r="E120" s="588" t="e">
        <v>#VALUE!</v>
      </c>
      <c r="F120" s="597" t="s">
        <v>668</v>
      </c>
      <c r="G120" s="568">
        <f t="shared" si="8"/>
        <v>10.77</v>
      </c>
      <c r="H120" s="564"/>
      <c r="I120" s="565"/>
      <c r="J120" s="565"/>
      <c r="K120" s="565"/>
      <c r="N120" s="565"/>
      <c r="O120" s="928">
        <v>3</v>
      </c>
      <c r="P120" s="565"/>
      <c r="Q120" s="565"/>
      <c r="S120" s="928">
        <v>2.58</v>
      </c>
      <c r="T120" s="565"/>
      <c r="U120" s="565"/>
      <c r="V120" s="928">
        <v>5.19</v>
      </c>
      <c r="W120" s="963">
        <f t="shared" si="9"/>
        <v>10.77</v>
      </c>
      <c r="X120" s="920" t="e">
        <v>#VALUE!</v>
      </c>
      <c r="AC120" s="749">
        <f t="shared" si="10"/>
        <v>2.2828920872459038E-2</v>
      </c>
    </row>
    <row r="121" spans="5:29" ht="12.75" customHeight="1" thickBot="1">
      <c r="E121" s="869" t="e">
        <f>E11</f>
        <v>#VALUE!</v>
      </c>
      <c r="F121" s="720" t="e" vm="8">
        <f t="array" ref="F121">_FV(E121,"Exchange abbreviation",TRUE)</f>
        <v>#VALUE!</v>
      </c>
      <c r="G121" s="568">
        <f t="shared" si="8"/>
        <v>102</v>
      </c>
      <c r="H121" s="721"/>
      <c r="I121" s="722"/>
      <c r="J121" s="722"/>
      <c r="K121" s="722"/>
      <c r="L121" s="723"/>
      <c r="M121" s="723"/>
      <c r="N121" s="722"/>
      <c r="O121" s="929">
        <v>100.15</v>
      </c>
      <c r="P121" s="722"/>
      <c r="Q121" s="722"/>
      <c r="R121" s="723"/>
      <c r="S121" s="722"/>
      <c r="T121" s="722"/>
      <c r="U121" s="722"/>
      <c r="V121" s="929">
        <v>1.85</v>
      </c>
      <c r="W121" s="963">
        <f t="shared" si="9"/>
        <v>102</v>
      </c>
      <c r="X121" s="952" t="e">
        <v>#VALUE!</v>
      </c>
      <c r="Y121" s="953"/>
      <c r="Z121" s="953"/>
      <c r="AA121" s="953"/>
      <c r="AC121" s="749">
        <f t="shared" si="10"/>
        <v>0.21620705004557306</v>
      </c>
    </row>
    <row r="122" spans="5:29" ht="12.75" customHeight="1" thickBot="1">
      <c r="E122" s="869" t="e">
        <f>E13</f>
        <v>#VALUE!</v>
      </c>
      <c r="F122" s="720" t="e" vm="8">
        <f t="array" ref="F122">_FV(E122,"Exchange abbreviation",TRUE)</f>
        <v>#VALUE!</v>
      </c>
      <c r="G122" s="568">
        <f t="shared" si="8"/>
        <v>33</v>
      </c>
      <c r="H122" s="721"/>
      <c r="I122" s="722"/>
      <c r="J122" s="722"/>
      <c r="K122" s="722"/>
      <c r="L122" s="723"/>
      <c r="M122" s="723"/>
      <c r="N122" s="722"/>
      <c r="O122" s="722"/>
      <c r="P122" s="929">
        <v>18</v>
      </c>
      <c r="Q122" s="722"/>
      <c r="R122" s="723"/>
      <c r="S122" s="722"/>
      <c r="T122" s="722"/>
      <c r="U122" s="722"/>
      <c r="V122" s="929">
        <v>15</v>
      </c>
      <c r="W122" s="963">
        <f t="shared" si="9"/>
        <v>33</v>
      </c>
      <c r="X122" s="952" t="e">
        <v>#VALUE!</v>
      </c>
      <c r="Y122" s="953"/>
      <c r="Z122" s="953"/>
      <c r="AA122" s="953"/>
      <c r="AC122" s="749">
        <f t="shared" si="10"/>
        <v>6.9949339720626585E-2</v>
      </c>
    </row>
    <row r="123" spans="5:29" ht="12.75" customHeight="1" thickBot="1">
      <c r="E123" s="869" t="e">
        <f>E12</f>
        <v>#VALUE!</v>
      </c>
      <c r="F123" s="720" t="e" vm="8">
        <f t="array" ref="F123">_FV(E123,"Exchange abbreviation",TRUE)</f>
        <v>#VALUE!</v>
      </c>
      <c r="G123" s="568">
        <f t="shared" si="8"/>
        <v>52.9</v>
      </c>
      <c r="H123" s="721"/>
      <c r="I123" s="929">
        <v>35.97</v>
      </c>
      <c r="J123" s="722"/>
      <c r="K123" s="722"/>
      <c r="L123" s="725"/>
      <c r="M123" s="725"/>
      <c r="N123" s="722"/>
      <c r="O123" s="722"/>
      <c r="P123" s="722"/>
      <c r="Q123" s="929">
        <v>16.93</v>
      </c>
      <c r="R123" s="725"/>
      <c r="S123" s="722"/>
      <c r="T123" s="722"/>
      <c r="U123" s="722"/>
      <c r="V123" s="726"/>
      <c r="W123" s="963">
        <f t="shared" si="9"/>
        <v>52.9</v>
      </c>
      <c r="X123" s="952" t="e">
        <v>#VALUE!</v>
      </c>
      <c r="Y123" s="953"/>
      <c r="Z123" s="953"/>
      <c r="AA123" s="953"/>
      <c r="AC123" s="749">
        <f t="shared" si="10"/>
        <v>0.11213091124912564</v>
      </c>
    </row>
    <row r="124" spans="5:29" ht="12.75" customHeight="1" thickBot="1">
      <c r="E124" s="869" t="e">
        <f>E18</f>
        <v>#VALUE!</v>
      </c>
      <c r="F124" s="720" t="e" vm="8">
        <f t="array" ref="F124">_FV(E124,"Exchange abbreviation",TRUE)</f>
        <v>#VALUE!</v>
      </c>
      <c r="G124" s="568">
        <f t="shared" si="8"/>
        <v>21.88</v>
      </c>
      <c r="H124" s="929">
        <v>3.65</v>
      </c>
      <c r="I124" s="722"/>
      <c r="J124" s="722"/>
      <c r="K124" s="722"/>
      <c r="L124" s="723"/>
      <c r="M124" s="723"/>
      <c r="N124" s="722"/>
      <c r="O124" s="722"/>
      <c r="P124" s="929">
        <v>18.23</v>
      </c>
      <c r="Q124" s="722"/>
      <c r="R124" s="723"/>
      <c r="S124" s="722"/>
      <c r="T124" s="722"/>
      <c r="U124" s="722"/>
      <c r="V124" s="724"/>
      <c r="W124" s="963">
        <f t="shared" si="9"/>
        <v>21.88</v>
      </c>
      <c r="X124" s="952" t="e">
        <v>#VALUE!</v>
      </c>
      <c r="Y124" s="953"/>
      <c r="Z124" s="953"/>
      <c r="AA124" s="953"/>
      <c r="AC124" s="749">
        <f t="shared" si="10"/>
        <v>4.6378531911736652E-2</v>
      </c>
    </row>
    <row r="125" spans="5:29" ht="12.75" customHeight="1" thickBot="1">
      <c r="E125" s="869" t="e">
        <f>E14</f>
        <v>#VALUE!</v>
      </c>
      <c r="F125" s="720" t="e" vm="8">
        <f t="array" ref="F125">_FV(E125,"Exchange abbreviation",TRUE)</f>
        <v>#VALUE!</v>
      </c>
      <c r="G125" s="568">
        <f t="shared" si="8"/>
        <v>3.51</v>
      </c>
      <c r="H125" s="929">
        <v>3.51</v>
      </c>
      <c r="I125" s="722"/>
      <c r="J125" s="722"/>
      <c r="K125" s="722"/>
      <c r="L125" s="723"/>
      <c r="M125" s="723"/>
      <c r="N125" s="722"/>
      <c r="O125" s="722"/>
      <c r="P125" s="722"/>
      <c r="Q125" s="722"/>
      <c r="R125" s="723"/>
      <c r="S125" s="722"/>
      <c r="T125" s="722"/>
      <c r="U125" s="722"/>
      <c r="V125" s="724"/>
      <c r="W125" s="963">
        <f t="shared" si="9"/>
        <v>3.51</v>
      </c>
      <c r="X125" s="952" t="e">
        <v>#VALUE!</v>
      </c>
      <c r="Y125" s="953"/>
      <c r="Z125" s="953"/>
      <c r="AA125" s="953"/>
      <c r="AC125" s="749">
        <f t="shared" si="10"/>
        <v>7.4400661339211905E-3</v>
      </c>
    </row>
    <row r="126" spans="5:29" ht="12.75" customHeight="1" thickBot="1">
      <c r="E126" s="869" t="e">
        <f>E8</f>
        <v>#VALUE!</v>
      </c>
      <c r="F126" s="720" t="e" vm="8">
        <f t="array" ref="F126">_FV(E126,"Exchange abbreviation",TRUE)</f>
        <v>#VALUE!</v>
      </c>
      <c r="G126" s="568">
        <f t="shared" si="8"/>
        <v>37.42</v>
      </c>
      <c r="H126" s="755"/>
      <c r="I126" s="929">
        <v>7.36</v>
      </c>
      <c r="J126" s="756"/>
      <c r="K126" s="756"/>
      <c r="L126" s="723"/>
      <c r="M126" s="723"/>
      <c r="N126" s="756"/>
      <c r="O126" s="756"/>
      <c r="P126" s="929">
        <v>30.06</v>
      </c>
      <c r="Q126" s="756"/>
      <c r="R126" s="723"/>
      <c r="S126" s="756"/>
      <c r="T126" s="756"/>
      <c r="U126" s="756"/>
      <c r="V126" s="757"/>
      <c r="W126" s="963">
        <f t="shared" si="9"/>
        <v>37.42</v>
      </c>
      <c r="X126" s="952" t="e">
        <v>#VALUE!</v>
      </c>
      <c r="Y126" s="953"/>
      <c r="Z126" s="953"/>
      <c r="AA126" s="953"/>
      <c r="AC126" s="749">
        <f t="shared" si="10"/>
        <v>7.9318311889268078E-2</v>
      </c>
    </row>
    <row r="127" spans="5:29" ht="12.75" customHeight="1">
      <c r="G127" s="870"/>
      <c r="H127" s="566"/>
      <c r="I127" s="567"/>
      <c r="J127" s="567"/>
      <c r="K127" s="567"/>
      <c r="N127" s="567"/>
      <c r="O127" s="567"/>
      <c r="P127" s="567"/>
      <c r="Q127" s="567"/>
      <c r="S127" s="567"/>
      <c r="T127" s="567"/>
      <c r="U127" s="567"/>
      <c r="V127" s="546"/>
      <c r="W127" s="569"/>
      <c r="X127" s="689"/>
    </row>
    <row r="128" spans="5:29" ht="12.75" customHeight="1">
      <c r="F128" s="589" t="s">
        <v>86</v>
      </c>
      <c r="G128" s="583">
        <f>SUM(H128:V128)</f>
        <v>580.12</v>
      </c>
      <c r="H128" s="535">
        <f>SUM(H106:H127)</f>
        <v>11.18</v>
      </c>
      <c r="I128" s="535">
        <f>SUM(I106:I127)</f>
        <v>60.08</v>
      </c>
      <c r="J128" s="535">
        <f>SUM(J106:J127)</f>
        <v>30.689999999999998</v>
      </c>
      <c r="K128" s="535">
        <f>SUM(K106:K127)</f>
        <v>11.7</v>
      </c>
      <c r="N128" s="535">
        <f>SUM(N106:N127)</f>
        <v>21.28</v>
      </c>
      <c r="O128" s="535">
        <f>SUM(O106:O127)</f>
        <v>163.80000000000001</v>
      </c>
      <c r="P128" s="535">
        <f>SUM(P106:P127)</f>
        <v>72.52</v>
      </c>
      <c r="Q128" s="535">
        <f>SUM(Q106:Q127)</f>
        <v>39.78</v>
      </c>
      <c r="S128" s="535">
        <f>SUM(S106:S127)</f>
        <v>55.19</v>
      </c>
      <c r="T128" s="535">
        <f>SUM(T106:T127)</f>
        <v>6.1899999999999995</v>
      </c>
      <c r="U128" s="535">
        <f>SUM(U106:U127)</f>
        <v>24.3</v>
      </c>
      <c r="V128" s="535">
        <f>SUM(V106:V127)</f>
        <v>83.41</v>
      </c>
      <c r="W128" s="570">
        <f>SUM(W106:W127)</f>
        <v>580.11999999999989</v>
      </c>
      <c r="X128" s="688"/>
    </row>
    <row r="129" spans="5:29" ht="12.75" customHeight="1">
      <c r="F129" s="254" t="s">
        <v>658</v>
      </c>
      <c r="G129" s="669">
        <f>SUM(G121:G126)</f>
        <v>250.70999999999998</v>
      </c>
      <c r="X129" s="688"/>
    </row>
    <row r="130" spans="5:29" ht="12.75" customHeight="1">
      <c r="F130" s="254" t="s">
        <v>659</v>
      </c>
      <c r="G130" s="669">
        <f>SUM(G106:G119)</f>
        <v>318.64</v>
      </c>
    </row>
    <row r="133" spans="5:29" ht="20" customHeight="1">
      <c r="G133" s="862">
        <v>2026</v>
      </c>
      <c r="I133" s="571"/>
      <c r="J133" s="535"/>
      <c r="K133" s="535"/>
      <c r="N133" s="535"/>
      <c r="O133" s="535"/>
      <c r="P133" s="535"/>
      <c r="Q133" s="535"/>
    </row>
    <row r="134" spans="5:29" ht="12.75" customHeight="1">
      <c r="G134" s="563" t="s">
        <v>86</v>
      </c>
      <c r="H134" s="562" t="s">
        <v>76</v>
      </c>
      <c r="I134" s="562" t="s">
        <v>285</v>
      </c>
      <c r="J134" s="562" t="s">
        <v>218</v>
      </c>
      <c r="K134" s="562" t="s">
        <v>286</v>
      </c>
      <c r="N134" s="562" t="s">
        <v>219</v>
      </c>
      <c r="O134" s="562" t="s">
        <v>287</v>
      </c>
      <c r="P134" s="562" t="s">
        <v>220</v>
      </c>
      <c r="Q134" s="562" t="s">
        <v>288</v>
      </c>
      <c r="S134" s="562" t="s">
        <v>290</v>
      </c>
      <c r="T134" s="562" t="s">
        <v>221</v>
      </c>
      <c r="U134" s="562" t="s">
        <v>291</v>
      </c>
      <c r="V134" s="562" t="s">
        <v>222</v>
      </c>
      <c r="W134" s="563" t="s">
        <v>86</v>
      </c>
    </row>
    <row r="135" spans="5:29" ht="12.75" customHeight="1" thickBot="1">
      <c r="H135" s="535"/>
      <c r="I135" s="535"/>
      <c r="J135" s="535"/>
      <c r="K135" s="535"/>
      <c r="N135" s="535"/>
      <c r="O135" s="535"/>
      <c r="P135" s="535"/>
      <c r="Q135" s="535"/>
      <c r="X135" s="688"/>
    </row>
    <row r="136" spans="5:29" ht="12.75" customHeight="1" thickBot="1">
      <c r="E136" s="748" t="e">
        <f>E28</f>
        <v>#VALUE!</v>
      </c>
      <c r="F136" s="727" t="e" vm="8">
        <f t="array" ref="F136">_FV(E136,"Exchange abbreviation",TRUE)</f>
        <v>#VALUE!</v>
      </c>
      <c r="G136" s="568">
        <f t="shared" ref="G136:G156" si="11">SUM(H136:V136)</f>
        <v>0</v>
      </c>
      <c r="H136" s="728"/>
      <c r="I136" s="921"/>
      <c r="J136" s="926"/>
      <c r="K136" s="728"/>
      <c r="L136" s="594"/>
      <c r="M136" s="594"/>
      <c r="N136" s="921"/>
      <c r="O136" s="926"/>
      <c r="P136" s="728"/>
      <c r="Q136" s="729"/>
      <c r="R136" s="594"/>
      <c r="S136" s="926"/>
      <c r="T136" s="728"/>
      <c r="U136" s="921"/>
      <c r="V136" s="926"/>
      <c r="W136" s="962">
        <f t="shared" ref="W136:W156" si="12">SUM(H136:V136)</f>
        <v>0</v>
      </c>
      <c r="X136" s="892" t="e">
        <v>#VALUE!</v>
      </c>
      <c r="AC136" s="749">
        <f t="shared" ref="AC136:AC156" si="13">W136/$W$96</f>
        <v>0</v>
      </c>
    </row>
    <row r="137" spans="5:29" ht="12.75" customHeight="1" thickBot="1">
      <c r="E137" s="748" t="e">
        <f>E29</f>
        <v>#VALUE!</v>
      </c>
      <c r="F137" s="727" t="e" vm="8">
        <f t="array" ref="F137">_FV(E137,"Exchange abbreviation",TRUE)</f>
        <v>#VALUE!</v>
      </c>
      <c r="G137" s="568">
        <f t="shared" si="11"/>
        <v>0</v>
      </c>
      <c r="H137" s="731"/>
      <c r="I137" s="923"/>
      <c r="J137" s="927"/>
      <c r="K137" s="732"/>
      <c r="L137" s="594"/>
      <c r="M137" s="594"/>
      <c r="N137" s="732"/>
      <c r="O137" s="926"/>
      <c r="P137" s="732"/>
      <c r="Q137" s="732"/>
      <c r="R137" s="594"/>
      <c r="S137" s="732"/>
      <c r="T137" s="732"/>
      <c r="U137" s="732"/>
      <c r="V137" s="926"/>
      <c r="W137" s="963">
        <f t="shared" si="12"/>
        <v>0</v>
      </c>
      <c r="X137" s="892" t="e">
        <v>#VALUE!</v>
      </c>
      <c r="AC137" s="749">
        <f t="shared" si="13"/>
        <v>0</v>
      </c>
    </row>
    <row r="138" spans="5:29" ht="12.75" customHeight="1" thickBot="1">
      <c r="E138" s="748" t="e">
        <f>E30</f>
        <v>#VALUE!</v>
      </c>
      <c r="F138" s="727" t="e" vm="8">
        <f t="array" ref="F138">_FV(E138,"Exchange abbreviation",TRUE)</f>
        <v>#VALUE!</v>
      </c>
      <c r="G138" s="568">
        <f t="shared" si="11"/>
        <v>8.7899999999999991</v>
      </c>
      <c r="H138" s="922"/>
      <c r="I138" s="926">
        <v>8.7899999999999991</v>
      </c>
      <c r="J138" s="731"/>
      <c r="K138" s="732"/>
      <c r="L138" s="594"/>
      <c r="M138" s="594"/>
      <c r="N138" s="926"/>
      <c r="O138" s="732"/>
      <c r="P138" s="732"/>
      <c r="Q138" s="926"/>
      <c r="R138" s="594"/>
      <c r="S138" s="732"/>
      <c r="T138" s="732"/>
      <c r="U138" s="926"/>
      <c r="V138" s="641"/>
      <c r="W138" s="963">
        <f t="shared" si="12"/>
        <v>8.7899999999999991</v>
      </c>
      <c r="X138" s="892" t="e">
        <v>#VALUE!</v>
      </c>
      <c r="AC138" s="749">
        <f t="shared" si="13"/>
        <v>1.8631960489221441E-2</v>
      </c>
    </row>
    <row r="139" spans="5:29" ht="12.75" customHeight="1" thickBot="1">
      <c r="E139" s="748" t="e">
        <f>E27</f>
        <v>#VALUE!</v>
      </c>
      <c r="F139" s="727" t="s">
        <v>343</v>
      </c>
      <c r="G139" s="568">
        <f t="shared" si="11"/>
        <v>0</v>
      </c>
      <c r="H139" s="731"/>
      <c r="I139" s="924"/>
      <c r="J139" s="926"/>
      <c r="K139" s="732"/>
      <c r="L139" s="594"/>
      <c r="M139" s="594"/>
      <c r="N139" s="732"/>
      <c r="O139" s="926"/>
      <c r="P139" s="732"/>
      <c r="Q139" s="732"/>
      <c r="R139" s="594"/>
      <c r="S139" s="926"/>
      <c r="T139" s="732"/>
      <c r="U139" s="732"/>
      <c r="V139" s="926"/>
      <c r="W139" s="963">
        <f t="shared" si="12"/>
        <v>0</v>
      </c>
      <c r="X139" s="892" t="e">
        <v>#VALUE!</v>
      </c>
      <c r="AC139" s="749">
        <f t="shared" si="13"/>
        <v>0</v>
      </c>
    </row>
    <row r="140" spans="5:29" ht="12.75" customHeight="1" thickBot="1">
      <c r="E140" s="588" t="e">
        <f>E9</f>
        <v>#VALUE!</v>
      </c>
      <c r="F140" s="597" t="e" vm="8">
        <f t="array" ref="F140">_FV(E140,"Exchange abbreviation",TRUE)</f>
        <v>#VALUE!</v>
      </c>
      <c r="G140" s="568">
        <f t="shared" si="11"/>
        <v>4.8600000000000003</v>
      </c>
      <c r="I140" s="928">
        <v>4.8600000000000003</v>
      </c>
      <c r="J140" s="564"/>
      <c r="K140" s="565"/>
      <c r="N140" s="928"/>
      <c r="O140" s="565"/>
      <c r="P140" s="565"/>
      <c r="Q140" s="928"/>
      <c r="S140" s="565"/>
      <c r="T140" s="565"/>
      <c r="U140" s="928"/>
      <c r="V140" s="544"/>
      <c r="W140" s="963">
        <f t="shared" si="12"/>
        <v>4.8600000000000003</v>
      </c>
      <c r="X140" s="689" t="e">
        <v>#VALUE!</v>
      </c>
      <c r="AC140" s="749">
        <f t="shared" si="13"/>
        <v>1.0301630031583188E-2</v>
      </c>
    </row>
    <row r="141" spans="5:29" ht="12.75" customHeight="1" thickBot="1">
      <c r="E141" s="588" t="e">
        <f>E15</f>
        <v>#VALUE!</v>
      </c>
      <c r="F141" s="597" t="e" vm="8">
        <f t="array" ref="F141">_FV(E141,"Exchange abbreviation",TRUE)</f>
        <v>#VALUE!</v>
      </c>
      <c r="G141" s="568">
        <f t="shared" si="11"/>
        <v>0</v>
      </c>
      <c r="H141" s="564"/>
      <c r="I141" s="925"/>
      <c r="J141" s="564"/>
      <c r="K141" s="565"/>
      <c r="N141" s="565"/>
      <c r="O141" s="565"/>
      <c r="P141" s="565"/>
      <c r="Q141" s="565"/>
      <c r="S141" s="565"/>
      <c r="T141" s="565"/>
      <c r="U141" s="565"/>
      <c r="V141" s="928"/>
      <c r="W141" s="963">
        <f t="shared" si="12"/>
        <v>0</v>
      </c>
      <c r="X141" s="689" t="e">
        <v>#VALUE!</v>
      </c>
      <c r="AC141" s="749">
        <f t="shared" si="13"/>
        <v>0</v>
      </c>
    </row>
    <row r="142" spans="5:29" ht="12.75" customHeight="1" thickBot="1">
      <c r="E142" s="588" t="e">
        <f>E16</f>
        <v>#VALUE!</v>
      </c>
      <c r="F142" s="597" t="e" vm="8">
        <f t="array" ref="F142">_FV(E142,"Exchange abbreviation",TRUE)</f>
        <v>#VALUE!</v>
      </c>
      <c r="G142" s="568">
        <f t="shared" si="11"/>
        <v>0</v>
      </c>
      <c r="H142" s="564"/>
      <c r="I142" s="565"/>
      <c r="J142" s="928"/>
      <c r="K142" s="565"/>
      <c r="N142" s="565"/>
      <c r="O142" s="928"/>
      <c r="P142" s="565"/>
      <c r="Q142" s="565"/>
      <c r="S142" s="928"/>
      <c r="T142" s="565"/>
      <c r="U142" s="565"/>
      <c r="V142" s="928"/>
      <c r="W142" s="963">
        <f t="shared" si="12"/>
        <v>0</v>
      </c>
      <c r="X142" s="689" t="e">
        <v>#VALUE!</v>
      </c>
      <c r="AC142" s="749">
        <f t="shared" si="13"/>
        <v>0</v>
      </c>
    </row>
    <row r="143" spans="5:29" ht="12.75" customHeight="1" thickBot="1">
      <c r="E143" s="588" t="e">
        <f>E17</f>
        <v>#VALUE!</v>
      </c>
      <c r="F143" s="597" t="e" vm="8">
        <f t="array" ref="F143">_FV(E143,"Exchange abbreviation",TRUE)</f>
        <v>#VALUE!</v>
      </c>
      <c r="G143" s="568">
        <f t="shared" si="11"/>
        <v>4.91</v>
      </c>
      <c r="H143" s="928">
        <v>2.66</v>
      </c>
      <c r="I143" s="928">
        <v>2.25</v>
      </c>
      <c r="J143" s="928"/>
      <c r="K143" s="928"/>
      <c r="N143" s="928"/>
      <c r="O143" s="928"/>
      <c r="P143" s="928"/>
      <c r="Q143" s="928"/>
      <c r="S143" s="928"/>
      <c r="T143" s="928"/>
      <c r="U143" s="928"/>
      <c r="V143" s="928"/>
      <c r="W143" s="963">
        <f t="shared" si="12"/>
        <v>4.91</v>
      </c>
      <c r="X143" s="689" t="e">
        <v>#VALUE!</v>
      </c>
      <c r="AC143" s="749">
        <f t="shared" si="13"/>
        <v>1.0407613879644742E-2</v>
      </c>
    </row>
    <row r="144" spans="5:29" ht="12.75" customHeight="1" thickBot="1">
      <c r="E144" s="588" t="e">
        <f>E19</f>
        <v>#VALUE!</v>
      </c>
      <c r="F144" s="597" t="e" vm="8">
        <f t="array" ref="F144">_FV(E144,"Exchange abbreviation",TRUE)</f>
        <v>#VALUE!</v>
      </c>
      <c r="G144" s="568">
        <f t="shared" si="11"/>
        <v>0</v>
      </c>
      <c r="H144" s="564"/>
      <c r="I144" s="565"/>
      <c r="J144" s="928"/>
      <c r="K144" s="565"/>
      <c r="N144" s="565"/>
      <c r="O144" s="928"/>
      <c r="P144" s="565"/>
      <c r="Q144" s="565"/>
      <c r="S144" s="928"/>
      <c r="T144" s="565"/>
      <c r="U144" s="565"/>
      <c r="V144" s="928"/>
      <c r="W144" s="963">
        <f t="shared" si="12"/>
        <v>0</v>
      </c>
      <c r="X144" s="689" t="e">
        <v>#VALUE!</v>
      </c>
      <c r="AC144" s="749">
        <f t="shared" si="13"/>
        <v>0</v>
      </c>
    </row>
    <row r="145" spans="5:29" ht="12.75" customHeight="1" thickBot="1">
      <c r="E145" s="588" t="e">
        <f>E21</f>
        <v>#VALUE!</v>
      </c>
      <c r="F145" s="597" t="e" vm="8">
        <f t="array" ref="F145">_FV(E145,"Exchange abbreviation",TRUE)</f>
        <v>#VALUE!</v>
      </c>
      <c r="G145" s="568">
        <f t="shared" si="11"/>
        <v>0</v>
      </c>
      <c r="H145" s="564"/>
      <c r="I145" s="565"/>
      <c r="J145" s="928"/>
      <c r="K145" s="565"/>
      <c r="N145" s="565"/>
      <c r="O145" s="928"/>
      <c r="P145" s="565"/>
      <c r="Q145" s="565"/>
      <c r="S145" s="928"/>
      <c r="T145" s="565"/>
      <c r="U145" s="565"/>
      <c r="V145" s="928"/>
      <c r="W145" s="963">
        <f t="shared" si="12"/>
        <v>0</v>
      </c>
      <c r="X145" s="689" t="e">
        <v>#VALUE!</v>
      </c>
      <c r="AC145" s="749">
        <f t="shared" si="13"/>
        <v>0</v>
      </c>
    </row>
    <row r="146" spans="5:29" ht="12.75" customHeight="1" thickBot="1">
      <c r="E146" s="588" t="e">
        <f>E22</f>
        <v>#VALUE!</v>
      </c>
      <c r="F146" s="597" t="e" vm="8">
        <f t="array" ref="F146">_FV(E146,"Exchange abbreviation",TRUE)</f>
        <v>#VALUE!</v>
      </c>
      <c r="G146" s="568">
        <f t="shared" si="11"/>
        <v>12.07</v>
      </c>
      <c r="H146" s="564"/>
      <c r="I146" s="928">
        <v>12.07</v>
      </c>
      <c r="J146" s="565"/>
      <c r="K146" s="565"/>
      <c r="N146" s="928"/>
      <c r="O146" s="565"/>
      <c r="P146" s="565"/>
      <c r="Q146" s="928"/>
      <c r="S146" s="565"/>
      <c r="T146" s="565"/>
      <c r="U146" s="928"/>
      <c r="V146" s="544"/>
      <c r="W146" s="963">
        <f t="shared" si="12"/>
        <v>12.07</v>
      </c>
      <c r="X146" s="689" t="e">
        <v>#VALUE!</v>
      </c>
      <c r="AC146" s="749">
        <f t="shared" si="13"/>
        <v>2.558450092205948E-2</v>
      </c>
    </row>
    <row r="147" spans="5:29" ht="12.75" customHeight="1" thickBot="1">
      <c r="E147" s="588" t="e">
        <f>E23</f>
        <v>#VALUE!</v>
      </c>
      <c r="F147" s="597" t="e" vm="8">
        <f t="array" ref="F147">_FV(E147,"Exchange abbreviation",TRUE)</f>
        <v>#VALUE!</v>
      </c>
      <c r="G147" s="568">
        <f t="shared" si="11"/>
        <v>0</v>
      </c>
      <c r="H147" s="564"/>
      <c r="I147" s="565"/>
      <c r="J147" s="565"/>
      <c r="K147" s="565"/>
      <c r="N147" s="565"/>
      <c r="O147" s="565"/>
      <c r="P147" s="565"/>
      <c r="Q147" s="565"/>
      <c r="S147" s="565"/>
      <c r="T147" s="565"/>
      <c r="U147" s="565"/>
      <c r="V147" s="544"/>
      <c r="W147" s="963">
        <f t="shared" si="12"/>
        <v>0</v>
      </c>
      <c r="X147" s="689" t="e">
        <v>#VALUE!</v>
      </c>
      <c r="AC147" s="749">
        <f t="shared" si="13"/>
        <v>0</v>
      </c>
    </row>
    <row r="148" spans="5:29" ht="12.75" customHeight="1" thickBot="1">
      <c r="E148" s="588" t="e">
        <f>E10</f>
        <v>#VALUE!</v>
      </c>
      <c r="F148" s="597" t="e" vm="8">
        <f t="array" ref="F148">_FV(E148,"Exchange abbreviation",TRUE)</f>
        <v>#VALUE!</v>
      </c>
      <c r="G148" s="568">
        <f t="shared" si="11"/>
        <v>5.77</v>
      </c>
      <c r="H148" s="564"/>
      <c r="I148" s="928">
        <v>5.77</v>
      </c>
      <c r="J148" s="565"/>
      <c r="K148" s="928"/>
      <c r="N148" s="565"/>
      <c r="O148" s="565"/>
      <c r="P148" s="928"/>
      <c r="Q148" s="565"/>
      <c r="S148" s="565"/>
      <c r="T148" s="928"/>
      <c r="U148" s="565"/>
      <c r="V148" s="544"/>
      <c r="W148" s="963">
        <f t="shared" si="12"/>
        <v>5.77</v>
      </c>
      <c r="X148" s="689" t="e">
        <v>#VALUE!</v>
      </c>
      <c r="AC148" s="749">
        <f t="shared" si="13"/>
        <v>1.2230536066303494E-2</v>
      </c>
    </row>
    <row r="149" spans="5:29" ht="12.75" customHeight="1" thickBot="1">
      <c r="E149" s="588" t="e">
        <f>E20</f>
        <v>#VALUE!</v>
      </c>
      <c r="F149" s="597" t="e" vm="8">
        <f t="array" ref="F149">_FV(E149,"Exchange abbreviation",TRUE)</f>
        <v>#VALUE!</v>
      </c>
      <c r="G149" s="568">
        <f t="shared" si="11"/>
        <v>0</v>
      </c>
      <c r="H149" s="564"/>
      <c r="I149" s="565"/>
      <c r="J149" s="565"/>
      <c r="K149" s="928"/>
      <c r="N149" s="565"/>
      <c r="O149" s="565"/>
      <c r="P149" s="565"/>
      <c r="Q149" s="565"/>
      <c r="S149" s="565"/>
      <c r="T149" s="565"/>
      <c r="U149" s="565"/>
      <c r="V149" s="928"/>
      <c r="W149" s="963">
        <f t="shared" si="12"/>
        <v>0</v>
      </c>
      <c r="X149" s="689" t="e">
        <v>#VALUE!</v>
      </c>
      <c r="AC149" s="749">
        <f t="shared" si="13"/>
        <v>0</v>
      </c>
    </row>
    <row r="150" spans="5:29" ht="12.75" customHeight="1" thickBot="1">
      <c r="E150" s="588" t="e">
        <f>E24</f>
        <v>#VALUE!</v>
      </c>
      <c r="F150" s="597" t="s">
        <v>668</v>
      </c>
      <c r="G150" s="568">
        <f t="shared" si="11"/>
        <v>0</v>
      </c>
      <c r="H150" s="564"/>
      <c r="I150" s="565"/>
      <c r="J150" s="565"/>
      <c r="K150" s="565"/>
      <c r="N150" s="565"/>
      <c r="O150" s="928"/>
      <c r="P150" s="565"/>
      <c r="Q150" s="565"/>
      <c r="S150" s="928"/>
      <c r="T150" s="565"/>
      <c r="U150" s="565"/>
      <c r="V150" s="928"/>
      <c r="W150" s="963">
        <f t="shared" si="12"/>
        <v>0</v>
      </c>
      <c r="X150" s="920" t="e">
        <v>#VALUE!</v>
      </c>
      <c r="AC150" s="749">
        <f t="shared" si="13"/>
        <v>0</v>
      </c>
    </row>
    <row r="151" spans="5:29" ht="12.75" customHeight="1" thickBot="1">
      <c r="E151" s="869" t="e">
        <f>E11</f>
        <v>#VALUE!</v>
      </c>
      <c r="F151" s="720" t="e" vm="8">
        <f t="array" ref="F151">_FV(E151,"Exchange abbreviation",TRUE)</f>
        <v>#VALUE!</v>
      </c>
      <c r="G151" s="568">
        <f t="shared" si="11"/>
        <v>0</v>
      </c>
      <c r="H151" s="721"/>
      <c r="I151" s="722"/>
      <c r="J151" s="722"/>
      <c r="K151" s="722"/>
      <c r="L151" s="723"/>
      <c r="M151" s="723"/>
      <c r="N151" s="722"/>
      <c r="O151" s="929"/>
      <c r="P151" s="722"/>
      <c r="Q151" s="722"/>
      <c r="R151" s="723"/>
      <c r="S151" s="722"/>
      <c r="T151" s="722"/>
      <c r="U151" s="722"/>
      <c r="V151" s="929"/>
      <c r="W151" s="963">
        <f t="shared" si="12"/>
        <v>0</v>
      </c>
      <c r="X151" s="952" t="e">
        <v>#VALUE!</v>
      </c>
      <c r="Y151" s="953"/>
      <c r="Z151" s="953"/>
      <c r="AA151" s="953"/>
      <c r="AC151" s="749">
        <f t="shared" si="13"/>
        <v>0</v>
      </c>
    </row>
    <row r="152" spans="5:29" ht="12.75" customHeight="1" thickBot="1">
      <c r="E152" s="869" t="e">
        <f>E13</f>
        <v>#VALUE!</v>
      </c>
      <c r="F152" s="720" t="e" vm="8">
        <f t="array" ref="F152">_FV(E152,"Exchange abbreviation",TRUE)</f>
        <v>#VALUE!</v>
      </c>
      <c r="G152" s="568">
        <f t="shared" si="11"/>
        <v>0</v>
      </c>
      <c r="H152" s="721"/>
      <c r="I152" s="722"/>
      <c r="J152" s="722"/>
      <c r="K152" s="722"/>
      <c r="L152" s="723"/>
      <c r="M152" s="723"/>
      <c r="N152" s="722"/>
      <c r="O152" s="722"/>
      <c r="P152" s="929"/>
      <c r="Q152" s="722"/>
      <c r="R152" s="723"/>
      <c r="S152" s="722"/>
      <c r="T152" s="722"/>
      <c r="U152" s="722"/>
      <c r="V152" s="929"/>
      <c r="W152" s="963">
        <f t="shared" si="12"/>
        <v>0</v>
      </c>
      <c r="X152" s="952" t="e">
        <v>#VALUE!</v>
      </c>
      <c r="Y152" s="953"/>
      <c r="Z152" s="953"/>
      <c r="AA152" s="953"/>
      <c r="AC152" s="749">
        <f t="shared" si="13"/>
        <v>0</v>
      </c>
    </row>
    <row r="153" spans="5:29" ht="12.75" customHeight="1" thickBot="1">
      <c r="E153" s="869" t="e">
        <f>E12</f>
        <v>#VALUE!</v>
      </c>
      <c r="F153" s="720" t="e" vm="8">
        <f t="array" ref="F153">_FV(E153,"Exchange abbreviation",TRUE)</f>
        <v>#VALUE!</v>
      </c>
      <c r="G153" s="568">
        <f t="shared" si="11"/>
        <v>60.75</v>
      </c>
      <c r="H153" s="721"/>
      <c r="I153" s="929">
        <v>60.75</v>
      </c>
      <c r="J153" s="722"/>
      <c r="K153" s="722"/>
      <c r="L153" s="725"/>
      <c r="M153" s="725"/>
      <c r="N153" s="722"/>
      <c r="O153" s="722"/>
      <c r="P153" s="722"/>
      <c r="Q153" s="929"/>
      <c r="R153" s="725"/>
      <c r="S153" s="722"/>
      <c r="T153" s="722"/>
      <c r="U153" s="722"/>
      <c r="V153" s="726"/>
      <c r="W153" s="963">
        <f t="shared" si="12"/>
        <v>60.75</v>
      </c>
      <c r="X153" s="952" t="e">
        <v>#VALUE!</v>
      </c>
      <c r="Y153" s="953"/>
      <c r="Z153" s="953"/>
      <c r="AA153" s="953"/>
      <c r="AC153" s="749">
        <f t="shared" si="13"/>
        <v>0.12877037539478983</v>
      </c>
    </row>
    <row r="154" spans="5:29" ht="12.75" customHeight="1" thickBot="1">
      <c r="E154" s="869" t="e">
        <f>E18</f>
        <v>#VALUE!</v>
      </c>
      <c r="F154" s="720" t="e" vm="8">
        <f t="array" ref="F154">_FV(E154,"Exchange abbreviation",TRUE)</f>
        <v>#VALUE!</v>
      </c>
      <c r="G154" s="568">
        <f t="shared" si="11"/>
        <v>6.89</v>
      </c>
      <c r="H154" s="929">
        <v>6.89</v>
      </c>
      <c r="I154" s="722"/>
      <c r="J154" s="722"/>
      <c r="K154" s="722"/>
      <c r="L154" s="723"/>
      <c r="M154" s="723"/>
      <c r="N154" s="722"/>
      <c r="O154" s="722"/>
      <c r="P154" s="929"/>
      <c r="Q154" s="722"/>
      <c r="R154" s="723"/>
      <c r="S154" s="722"/>
      <c r="T154" s="722"/>
      <c r="U154" s="722"/>
      <c r="V154" s="724"/>
      <c r="W154" s="963">
        <f t="shared" si="12"/>
        <v>6.89</v>
      </c>
      <c r="X154" s="952" t="e">
        <v>#VALUE!</v>
      </c>
      <c r="Y154" s="953"/>
      <c r="Z154" s="953"/>
      <c r="AA154" s="953"/>
      <c r="AC154" s="749">
        <f t="shared" si="13"/>
        <v>1.4604574262882336E-2</v>
      </c>
    </row>
    <row r="155" spans="5:29" ht="12.75" customHeight="1" thickBot="1">
      <c r="E155" s="869" t="e">
        <f>E14</f>
        <v>#VALUE!</v>
      </c>
      <c r="F155" s="720" t="e" vm="8">
        <f t="array" ref="F155">_FV(E155,"Exchange abbreviation",TRUE)</f>
        <v>#VALUE!</v>
      </c>
      <c r="G155" s="568">
        <f t="shared" si="11"/>
        <v>8.3800000000000008</v>
      </c>
      <c r="H155" s="929">
        <v>8.3800000000000008</v>
      </c>
      <c r="I155" s="722"/>
      <c r="J155" s="722"/>
      <c r="K155" s="722"/>
      <c r="L155" s="723"/>
      <c r="M155" s="723"/>
      <c r="N155" s="722"/>
      <c r="O155" s="722"/>
      <c r="P155" s="722"/>
      <c r="Q155" s="722"/>
      <c r="R155" s="723"/>
      <c r="S155" s="722"/>
      <c r="T155" s="722"/>
      <c r="U155" s="722"/>
      <c r="V155" s="724"/>
      <c r="W155" s="963">
        <f t="shared" si="12"/>
        <v>8.3800000000000008</v>
      </c>
      <c r="X155" s="952" t="e">
        <v>#VALUE!</v>
      </c>
      <c r="Y155" s="953"/>
      <c r="Z155" s="953"/>
      <c r="AA155" s="953"/>
      <c r="AC155" s="749">
        <f t="shared" si="13"/>
        <v>1.7762892935116691E-2</v>
      </c>
    </row>
    <row r="156" spans="5:29" ht="12.75" customHeight="1" thickBot="1">
      <c r="E156" s="869" t="e">
        <f>E8</f>
        <v>#VALUE!</v>
      </c>
      <c r="F156" s="720" t="e" vm="8">
        <f t="array" ref="F156">_FV(E156,"Exchange abbreviation",TRUE)</f>
        <v>#VALUE!</v>
      </c>
      <c r="G156" s="568">
        <f t="shared" si="11"/>
        <v>9.4499999999999993</v>
      </c>
      <c r="H156" s="755"/>
      <c r="I156" s="929">
        <v>9.4499999999999993</v>
      </c>
      <c r="J156" s="756"/>
      <c r="K156" s="756"/>
      <c r="L156" s="723"/>
      <c r="M156" s="723"/>
      <c r="N156" s="756"/>
      <c r="O156" s="756"/>
      <c r="P156" s="929"/>
      <c r="Q156" s="756"/>
      <c r="R156" s="723"/>
      <c r="S156" s="756"/>
      <c r="T156" s="756"/>
      <c r="U156" s="756"/>
      <c r="V156" s="757"/>
      <c r="W156" s="963">
        <f t="shared" si="12"/>
        <v>9.4499999999999993</v>
      </c>
      <c r="X156" s="952" t="e">
        <v>#VALUE!</v>
      </c>
      <c r="Y156" s="953"/>
      <c r="Z156" s="953"/>
      <c r="AA156" s="953"/>
      <c r="AC156" s="749">
        <f t="shared" si="13"/>
        <v>2.0030947283633974E-2</v>
      </c>
    </row>
    <row r="157" spans="5:29" ht="12.75" customHeight="1">
      <c r="G157" s="870"/>
      <c r="H157" s="566"/>
      <c r="I157" s="567"/>
      <c r="J157" s="567"/>
      <c r="K157" s="567"/>
      <c r="N157" s="567"/>
      <c r="O157" s="567"/>
      <c r="P157" s="567"/>
      <c r="Q157" s="567"/>
      <c r="S157" s="567"/>
      <c r="T157" s="567"/>
      <c r="U157" s="567"/>
      <c r="V157" s="546"/>
      <c r="W157" s="569"/>
      <c r="X157" s="689"/>
    </row>
    <row r="158" spans="5:29" ht="12.75" customHeight="1">
      <c r="F158" s="589" t="s">
        <v>86</v>
      </c>
      <c r="G158" s="583">
        <f>SUM(H158:V158)</f>
        <v>121.87</v>
      </c>
      <c r="H158" s="535">
        <f>SUM(H136:H157)</f>
        <v>17.93</v>
      </c>
      <c r="I158" s="535">
        <f>SUM(I136:I157)</f>
        <v>103.94</v>
      </c>
      <c r="J158" s="535">
        <f>SUM(J136:J157)</f>
        <v>0</v>
      </c>
      <c r="K158" s="535">
        <f>SUM(K136:K157)</f>
        <v>0</v>
      </c>
      <c r="N158" s="535">
        <f>SUM(N136:N157)</f>
        <v>0</v>
      </c>
      <c r="O158" s="535">
        <f>SUM(O136:O157)</f>
        <v>0</v>
      </c>
      <c r="P158" s="535">
        <f>SUM(P136:P157)</f>
        <v>0</v>
      </c>
      <c r="Q158" s="535">
        <f>SUM(Q136:Q157)</f>
        <v>0</v>
      </c>
      <c r="S158" s="535">
        <f>SUM(S136:S157)</f>
        <v>0</v>
      </c>
      <c r="T158" s="535">
        <f>SUM(T136:T157)</f>
        <v>0</v>
      </c>
      <c r="U158" s="535">
        <f>SUM(U136:U157)</f>
        <v>0</v>
      </c>
      <c r="V158" s="535">
        <f>SUM(V136:V157)</f>
        <v>0</v>
      </c>
      <c r="W158" s="570">
        <f>SUM(W136:W157)</f>
        <v>121.87</v>
      </c>
      <c r="X158" s="688"/>
    </row>
    <row r="159" spans="5:29" ht="12.75" customHeight="1">
      <c r="F159" s="254" t="s">
        <v>658</v>
      </c>
      <c r="G159" s="669">
        <f>SUM(G151:G156)</f>
        <v>85.47</v>
      </c>
      <c r="X159" s="688"/>
    </row>
    <row r="160" spans="5:29" ht="12.75" customHeight="1">
      <c r="F160" s="254" t="s">
        <v>659</v>
      </c>
      <c r="G160" s="669">
        <f>SUM(G136:G149)</f>
        <v>36.4</v>
      </c>
    </row>
  </sheetData>
  <mergeCells count="2">
    <mergeCell ref="P38:Q38"/>
    <mergeCell ref="L38:O38"/>
  </mergeCells>
  <conditionalFormatting sqref="B44:B64">
    <cfRule type="colorScale" priority="157">
      <colorScale>
        <cfvo type="min"/>
        <cfvo type="max"/>
        <color rgb="FFFFEF9C"/>
        <color rgb="FF63BE7B"/>
      </colorScale>
    </cfRule>
  </conditionalFormatting>
  <conditionalFormatting sqref="H8:H32">
    <cfRule type="cellIs" dxfId="20" priority="9" operator="greaterThan">
      <formula>0</formula>
    </cfRule>
  </conditionalFormatting>
  <conditionalFormatting sqref="I8:I31">
    <cfRule type="colorScale" priority="261">
      <colorScale>
        <cfvo type="min"/>
        <cfvo type="percentile" val="50"/>
        <cfvo type="max"/>
        <color theme="7" tint="0.79998168889431442"/>
        <color theme="7" tint="0.39997558519241921"/>
        <color theme="5"/>
      </colorScale>
    </cfRule>
    <cfRule type="colorScale" priority="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:K31">
    <cfRule type="colorScale" priority="265">
      <colorScale>
        <cfvo type="min"/>
        <cfvo type="max"/>
        <color rgb="FFFFEF9C"/>
        <color rgb="FF63BE7B"/>
      </colorScale>
    </cfRule>
  </conditionalFormatting>
  <conditionalFormatting sqref="L8:M31 L32:N32">
    <cfRule type="containsText" dxfId="19" priority="16" stopIfTrue="1" operator="containsText" text="YES">
      <formula>NOT(ISERROR(SEARCH("YES",L8)))</formula>
    </cfRule>
  </conditionalFormatting>
  <conditionalFormatting sqref="W75:W94">
    <cfRule type="expression" dxfId="18" priority="5">
      <formula>W75&gt;=_xludf.LARGE($W$75:$W$94,3)</formula>
    </cfRule>
  </conditionalFormatting>
  <conditionalFormatting sqref="W106:W127">
    <cfRule type="expression" dxfId="17" priority="6">
      <formula>W106&gt;=LARGE($W$106:$W$127,3)</formula>
    </cfRule>
  </conditionalFormatting>
  <conditionalFormatting sqref="W136:W157">
    <cfRule type="expression" dxfId="16" priority="3">
      <formula>W136&gt;=LARGE($W$106:$W$127,3)</formula>
    </cfRule>
  </conditionalFormatting>
  <conditionalFormatting sqref="AC44:AC62">
    <cfRule type="colorScale" priority="159">
      <colorScale>
        <cfvo type="min"/>
        <cfvo type="max"/>
        <color rgb="FFFFEF9C"/>
        <color rgb="FF63BE7B"/>
      </colorScale>
    </cfRule>
  </conditionalFormatting>
  <conditionalFormatting sqref="AC75:AC94">
    <cfRule type="colorScale" priority="160">
      <colorScale>
        <cfvo type="min"/>
        <cfvo type="max"/>
        <color rgb="FFFFEF9C"/>
        <color rgb="FF63BE7B"/>
      </colorScale>
    </cfRule>
  </conditionalFormatting>
  <conditionalFormatting sqref="AC106:AC126">
    <cfRule type="colorScale" priority="2">
      <colorScale>
        <cfvo type="min"/>
        <cfvo type="max"/>
        <color rgb="FFFFEF9C"/>
        <color rgb="FF63BE7B"/>
      </colorScale>
    </cfRule>
  </conditionalFormatting>
  <conditionalFormatting sqref="AC136:AC15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M70"/>
  <sheetViews>
    <sheetView showGridLines="0" workbookViewId="0">
      <selection activeCell="P42" sqref="P42"/>
    </sheetView>
  </sheetViews>
  <sheetFormatPr baseColWidth="10" defaultColWidth="8.83203125" defaultRowHeight="13"/>
  <cols>
    <col min="1" max="1" width="4.5" customWidth="1"/>
    <col min="2" max="2" width="24.83203125" bestFit="1" customWidth="1"/>
    <col min="3" max="3" width="9.6640625" bestFit="1" customWidth="1"/>
    <col min="4" max="4" width="13" bestFit="1" customWidth="1"/>
    <col min="6" max="6" width="18.1640625" bestFit="1" customWidth="1"/>
    <col min="7" max="8" width="4.5" bestFit="1" customWidth="1"/>
    <col min="9" max="9" width="16.5" bestFit="1" customWidth="1"/>
    <col min="10" max="10" width="6.5" bestFit="1" customWidth="1"/>
    <col min="11" max="11" width="12" bestFit="1" customWidth="1"/>
    <col min="12" max="12" width="2.5" style="674" bestFit="1" customWidth="1"/>
  </cols>
  <sheetData>
    <row r="3" spans="2:12" ht="20" customHeight="1">
      <c r="B3" s="355" t="s">
        <v>669</v>
      </c>
    </row>
    <row r="5" spans="2:12" ht="117.75" customHeight="1">
      <c r="B5" s="671" t="s">
        <v>670</v>
      </c>
      <c r="C5" s="672" t="s">
        <v>671</v>
      </c>
      <c r="D5" s="671" t="s">
        <v>672</v>
      </c>
      <c r="E5" s="671" t="s">
        <v>673</v>
      </c>
      <c r="F5" s="671" t="s">
        <v>674</v>
      </c>
      <c r="G5" s="672" t="s">
        <v>675</v>
      </c>
      <c r="H5" s="672" t="s">
        <v>676</v>
      </c>
      <c r="I5" s="672" t="s">
        <v>677</v>
      </c>
      <c r="J5" s="672" t="s">
        <v>678</v>
      </c>
      <c r="K5" s="673" t="s">
        <v>679</v>
      </c>
      <c r="L5" s="762" t="s">
        <v>680</v>
      </c>
    </row>
    <row r="6" spans="2:12">
      <c r="B6" s="675" t="s">
        <v>681</v>
      </c>
      <c r="C6" s="676" t="s">
        <v>682</v>
      </c>
      <c r="D6" s="677" t="s">
        <v>683</v>
      </c>
      <c r="E6" s="677" t="s">
        <v>684</v>
      </c>
      <c r="F6" s="677" t="s">
        <v>685</v>
      </c>
      <c r="G6" s="677">
        <v>5.36</v>
      </c>
      <c r="H6" s="677">
        <v>1608</v>
      </c>
      <c r="I6" s="677" t="s">
        <v>686</v>
      </c>
      <c r="J6" s="678">
        <v>0.43419999999999997</v>
      </c>
      <c r="K6" s="677" t="s">
        <v>687</v>
      </c>
    </row>
    <row r="7" spans="2:12">
      <c r="B7" s="935" t="s">
        <v>377</v>
      </c>
      <c r="C7" s="936" t="s">
        <v>688</v>
      </c>
      <c r="D7" s="937" t="s">
        <v>689</v>
      </c>
      <c r="E7" s="937" t="s">
        <v>690</v>
      </c>
      <c r="F7" s="937" t="s">
        <v>691</v>
      </c>
      <c r="G7" s="937"/>
      <c r="H7" s="937"/>
      <c r="I7" s="937" t="s">
        <v>692</v>
      </c>
      <c r="J7" s="938"/>
      <c r="K7" s="937"/>
      <c r="L7" s="674" t="s">
        <v>693</v>
      </c>
    </row>
    <row r="8" spans="2:12">
      <c r="B8" s="677" t="s">
        <v>694</v>
      </c>
      <c r="C8" s="676" t="s">
        <v>695</v>
      </c>
      <c r="D8" s="677" t="s">
        <v>696</v>
      </c>
      <c r="E8" s="677" t="s">
        <v>690</v>
      </c>
      <c r="F8" s="677" t="s">
        <v>697</v>
      </c>
      <c r="G8" s="677">
        <v>0.76</v>
      </c>
      <c r="H8" s="677">
        <v>152</v>
      </c>
      <c r="I8" s="677" t="s">
        <v>686</v>
      </c>
      <c r="J8" s="678">
        <v>6.1600000000000002E-2</v>
      </c>
      <c r="K8" s="677" t="s">
        <v>687</v>
      </c>
    </row>
    <row r="9" spans="2:12">
      <c r="B9" s="675" t="s">
        <v>698</v>
      </c>
      <c r="C9" s="676" t="s">
        <v>699</v>
      </c>
      <c r="D9" s="677" t="s">
        <v>683</v>
      </c>
      <c r="E9" s="677" t="s">
        <v>684</v>
      </c>
      <c r="F9" s="677" t="s">
        <v>700</v>
      </c>
      <c r="G9" s="677">
        <v>3.13</v>
      </c>
      <c r="H9" s="677">
        <v>313</v>
      </c>
      <c r="I9" s="677" t="s">
        <v>692</v>
      </c>
      <c r="J9" s="678">
        <v>0.2535</v>
      </c>
      <c r="K9" s="677" t="s">
        <v>687</v>
      </c>
    </row>
    <row r="10" spans="2:12">
      <c r="B10" s="939" t="s">
        <v>701</v>
      </c>
      <c r="C10" s="940" t="s">
        <v>702</v>
      </c>
      <c r="D10" s="941" t="s">
        <v>683</v>
      </c>
      <c r="E10" s="941" t="s">
        <v>684</v>
      </c>
      <c r="F10" s="941" t="s">
        <v>115</v>
      </c>
      <c r="G10" s="941">
        <v>1.9</v>
      </c>
      <c r="H10" s="941">
        <v>380</v>
      </c>
      <c r="I10" s="941" t="s">
        <v>686</v>
      </c>
      <c r="J10" s="942">
        <v>0.15390000000000001</v>
      </c>
      <c r="K10" s="941" t="s">
        <v>687</v>
      </c>
      <c r="L10" s="674" t="s">
        <v>693</v>
      </c>
    </row>
    <row r="11" spans="2:12">
      <c r="B11" s="677" t="s">
        <v>703</v>
      </c>
      <c r="C11" s="676" t="s">
        <v>682</v>
      </c>
      <c r="D11" s="677" t="s">
        <v>704</v>
      </c>
      <c r="E11" s="677" t="s">
        <v>684</v>
      </c>
      <c r="F11" s="677" t="s">
        <v>705</v>
      </c>
      <c r="G11" s="677">
        <v>1.53</v>
      </c>
      <c r="H11" s="677">
        <v>459</v>
      </c>
      <c r="I11" s="677" t="s">
        <v>692</v>
      </c>
      <c r="J11" s="678">
        <v>0.1239</v>
      </c>
      <c r="K11" s="677" t="s">
        <v>687</v>
      </c>
    </row>
    <row r="12" spans="2:12">
      <c r="B12" s="677" t="s">
        <v>706</v>
      </c>
      <c r="C12" s="676" t="s">
        <v>707</v>
      </c>
      <c r="D12" s="677" t="s">
        <v>704</v>
      </c>
      <c r="E12" s="677" t="s">
        <v>708</v>
      </c>
      <c r="F12" s="677" t="s">
        <v>132</v>
      </c>
      <c r="G12" s="677">
        <v>7.0000000000000007E-2</v>
      </c>
      <c r="H12" s="677">
        <v>28</v>
      </c>
      <c r="I12" s="677" t="s">
        <v>692</v>
      </c>
      <c r="J12" s="678">
        <v>5.7000000000000002E-3</v>
      </c>
      <c r="K12" s="677" t="s">
        <v>709</v>
      </c>
    </row>
    <row r="13" spans="2:12">
      <c r="B13" s="677" t="s">
        <v>710</v>
      </c>
      <c r="C13" s="676" t="s">
        <v>711</v>
      </c>
      <c r="D13" s="677" t="s">
        <v>712</v>
      </c>
      <c r="E13" s="677" t="s">
        <v>713</v>
      </c>
      <c r="F13" s="677" t="s">
        <v>705</v>
      </c>
      <c r="G13" s="677">
        <v>0.13</v>
      </c>
      <c r="H13" s="677">
        <v>52</v>
      </c>
      <c r="I13" s="677" t="s">
        <v>686</v>
      </c>
      <c r="J13" s="678">
        <v>1.0500000000000001E-2</v>
      </c>
      <c r="K13" s="677" t="s">
        <v>709</v>
      </c>
    </row>
    <row r="14" spans="2:12">
      <c r="B14" s="677" t="s">
        <v>714</v>
      </c>
      <c r="C14" s="676" t="s">
        <v>702</v>
      </c>
      <c r="D14" s="677" t="s">
        <v>704</v>
      </c>
      <c r="E14" s="677" t="s">
        <v>708</v>
      </c>
      <c r="F14" s="677" t="s">
        <v>700</v>
      </c>
      <c r="G14" s="677">
        <v>2.44</v>
      </c>
      <c r="H14" s="677">
        <v>488</v>
      </c>
      <c r="I14" s="677" t="s">
        <v>692</v>
      </c>
      <c r="J14" s="678">
        <v>0.1976</v>
      </c>
      <c r="K14" s="677" t="s">
        <v>687</v>
      </c>
    </row>
    <row r="15" spans="2:12">
      <c r="B15" s="736" t="s">
        <v>715</v>
      </c>
      <c r="C15" s="737" t="s">
        <v>682</v>
      </c>
      <c r="D15" s="736" t="s">
        <v>716</v>
      </c>
      <c r="E15" s="736" t="s">
        <v>684</v>
      </c>
      <c r="F15" s="736" t="s">
        <v>691</v>
      </c>
      <c r="G15" s="736">
        <v>1.83</v>
      </c>
      <c r="H15" s="736">
        <v>732</v>
      </c>
      <c r="I15" s="736" t="s">
        <v>686</v>
      </c>
      <c r="J15" s="738">
        <v>0.1482</v>
      </c>
      <c r="K15" s="736" t="s">
        <v>687</v>
      </c>
    </row>
    <row r="16" spans="2:12">
      <c r="B16" s="675" t="s">
        <v>717</v>
      </c>
      <c r="C16" s="676" t="s">
        <v>682</v>
      </c>
      <c r="D16" s="677" t="s">
        <v>716</v>
      </c>
      <c r="E16" s="677" t="s">
        <v>684</v>
      </c>
      <c r="F16" s="677" t="s">
        <v>645</v>
      </c>
      <c r="G16" s="677">
        <v>1.21</v>
      </c>
      <c r="H16" s="677">
        <v>121</v>
      </c>
      <c r="I16" s="677" t="s">
        <v>692</v>
      </c>
      <c r="J16" s="678">
        <v>9.8000000000000004E-2</v>
      </c>
      <c r="K16" s="677" t="s">
        <v>687</v>
      </c>
    </row>
    <row r="17" spans="2:12">
      <c r="B17" s="677" t="s">
        <v>718</v>
      </c>
      <c r="C17" s="676" t="s">
        <v>699</v>
      </c>
      <c r="D17" s="677" t="s">
        <v>683</v>
      </c>
      <c r="E17" s="677" t="s">
        <v>684</v>
      </c>
      <c r="F17" s="677" t="s">
        <v>685</v>
      </c>
      <c r="G17" s="677">
        <v>0.91</v>
      </c>
      <c r="H17" s="677">
        <v>364</v>
      </c>
      <c r="I17" s="677" t="s">
        <v>686</v>
      </c>
      <c r="J17" s="678">
        <v>7.3700000000000002E-2</v>
      </c>
      <c r="K17" s="677" t="s">
        <v>687</v>
      </c>
    </row>
    <row r="18" spans="2:12">
      <c r="B18" s="742" t="s">
        <v>719</v>
      </c>
      <c r="C18" s="740" t="s">
        <v>699</v>
      </c>
      <c r="D18" s="739" t="s">
        <v>683</v>
      </c>
      <c r="E18" s="739" t="s">
        <v>684</v>
      </c>
      <c r="F18" s="739" t="s">
        <v>720</v>
      </c>
      <c r="G18" s="739">
        <v>1.31</v>
      </c>
      <c r="H18" s="739">
        <v>131</v>
      </c>
      <c r="I18" s="739" t="s">
        <v>686</v>
      </c>
      <c r="J18" s="741">
        <v>0.1061</v>
      </c>
      <c r="K18" s="739" t="s">
        <v>687</v>
      </c>
    </row>
    <row r="19" spans="2:12">
      <c r="B19" s="736" t="s">
        <v>721</v>
      </c>
      <c r="C19" s="737" t="s">
        <v>722</v>
      </c>
      <c r="D19" s="736" t="s">
        <v>712</v>
      </c>
      <c r="E19" s="736" t="s">
        <v>713</v>
      </c>
      <c r="F19" s="736" t="s">
        <v>691</v>
      </c>
      <c r="G19" s="736">
        <v>0.28999999999999998</v>
      </c>
      <c r="H19" s="736">
        <v>58</v>
      </c>
      <c r="I19" s="736" t="s">
        <v>686</v>
      </c>
      <c r="J19" s="738">
        <v>2.35E-2</v>
      </c>
      <c r="K19" s="736" t="s">
        <v>709</v>
      </c>
    </row>
    <row r="20" spans="2:12">
      <c r="B20" s="677" t="s">
        <v>723</v>
      </c>
      <c r="C20" s="676" t="s">
        <v>724</v>
      </c>
      <c r="D20" s="677" t="s">
        <v>683</v>
      </c>
      <c r="E20" s="677" t="s">
        <v>684</v>
      </c>
      <c r="F20" s="677" t="s">
        <v>725</v>
      </c>
      <c r="G20" s="677">
        <v>1.49</v>
      </c>
      <c r="H20" s="677">
        <v>298</v>
      </c>
      <c r="I20" s="677" t="s">
        <v>686</v>
      </c>
      <c r="J20" s="678">
        <v>0.1207</v>
      </c>
      <c r="K20" s="677" t="s">
        <v>687</v>
      </c>
    </row>
    <row r="21" spans="2:12">
      <c r="B21" s="677" t="s">
        <v>726</v>
      </c>
      <c r="C21" s="676" t="s">
        <v>702</v>
      </c>
      <c r="D21" s="677" t="s">
        <v>683</v>
      </c>
      <c r="E21" s="677" t="s">
        <v>684</v>
      </c>
      <c r="F21" s="677" t="s">
        <v>685</v>
      </c>
      <c r="G21" s="677">
        <v>1.6</v>
      </c>
      <c r="H21" s="677">
        <v>320</v>
      </c>
      <c r="I21" s="677" t="s">
        <v>686</v>
      </c>
      <c r="J21" s="678">
        <v>0.12959999999999999</v>
      </c>
      <c r="K21" s="677" t="s">
        <v>687</v>
      </c>
    </row>
    <row r="22" spans="2:12">
      <c r="B22" s="677" t="s">
        <v>727</v>
      </c>
      <c r="C22" s="676" t="s">
        <v>682</v>
      </c>
      <c r="D22" s="677" t="s">
        <v>683</v>
      </c>
      <c r="E22" s="677" t="s">
        <v>684</v>
      </c>
      <c r="F22" s="677" t="s">
        <v>728</v>
      </c>
      <c r="G22" s="677">
        <v>2.62</v>
      </c>
      <c r="H22" s="677">
        <v>1048</v>
      </c>
      <c r="I22" s="677" t="s">
        <v>692</v>
      </c>
      <c r="J22" s="678">
        <v>0.2122</v>
      </c>
      <c r="K22" s="677" t="s">
        <v>687</v>
      </c>
    </row>
    <row r="23" spans="2:12">
      <c r="B23" s="937" t="s">
        <v>345</v>
      </c>
      <c r="C23" s="936" t="s">
        <v>729</v>
      </c>
      <c r="D23" s="937" t="s">
        <v>704</v>
      </c>
      <c r="E23" s="937" t="s">
        <v>708</v>
      </c>
      <c r="F23" s="937" t="s">
        <v>730</v>
      </c>
      <c r="G23" s="937">
        <v>0.8</v>
      </c>
      <c r="H23" s="937">
        <v>240</v>
      </c>
      <c r="I23" s="937" t="s">
        <v>686</v>
      </c>
      <c r="J23" s="938">
        <v>6.4799999999999996E-2</v>
      </c>
      <c r="K23" s="937" t="s">
        <v>687</v>
      </c>
      <c r="L23" s="674" t="s">
        <v>693</v>
      </c>
    </row>
    <row r="24" spans="2:12">
      <c r="B24" s="677" t="s">
        <v>731</v>
      </c>
      <c r="C24" s="676" t="s">
        <v>732</v>
      </c>
      <c r="D24" s="677" t="s">
        <v>683</v>
      </c>
      <c r="E24" s="677" t="s">
        <v>684</v>
      </c>
      <c r="F24" s="677" t="s">
        <v>733</v>
      </c>
      <c r="G24" s="677">
        <v>0</v>
      </c>
      <c r="H24" s="677">
        <v>0</v>
      </c>
      <c r="I24" s="677" t="s">
        <v>686</v>
      </c>
      <c r="J24" s="678">
        <v>0</v>
      </c>
      <c r="K24" s="679">
        <v>0</v>
      </c>
    </row>
    <row r="25" spans="2:12">
      <c r="B25" s="935" t="s">
        <v>364</v>
      </c>
      <c r="C25" s="936" t="s">
        <v>734</v>
      </c>
      <c r="D25" s="937" t="s">
        <v>689</v>
      </c>
      <c r="E25" s="937" t="s">
        <v>690</v>
      </c>
      <c r="F25" s="937" t="s">
        <v>705</v>
      </c>
      <c r="G25" s="937">
        <v>1.59</v>
      </c>
      <c r="H25" s="937">
        <v>636</v>
      </c>
      <c r="I25" s="937" t="s">
        <v>692</v>
      </c>
      <c r="J25" s="938">
        <v>0.1288</v>
      </c>
      <c r="K25" s="937" t="s">
        <v>687</v>
      </c>
      <c r="L25" s="674" t="s">
        <v>693</v>
      </c>
    </row>
    <row r="26" spans="2:12">
      <c r="B26" s="675" t="s">
        <v>735</v>
      </c>
      <c r="C26" s="676" t="s">
        <v>682</v>
      </c>
      <c r="D26" s="677" t="s">
        <v>716</v>
      </c>
      <c r="E26" s="677" t="s">
        <v>684</v>
      </c>
      <c r="F26" s="677" t="s">
        <v>705</v>
      </c>
      <c r="G26" s="677">
        <v>2.95</v>
      </c>
      <c r="H26" s="677">
        <v>295</v>
      </c>
      <c r="I26" s="677" t="s">
        <v>692</v>
      </c>
      <c r="J26" s="678">
        <v>0.23899999999999999</v>
      </c>
      <c r="K26" s="677" t="s">
        <v>687</v>
      </c>
    </row>
    <row r="27" spans="2:12">
      <c r="B27" s="677" t="s">
        <v>736</v>
      </c>
      <c r="C27" s="676" t="s">
        <v>737</v>
      </c>
      <c r="D27" s="677" t="s">
        <v>683</v>
      </c>
      <c r="E27" s="677" t="s">
        <v>684</v>
      </c>
      <c r="F27" s="677" t="s">
        <v>645</v>
      </c>
      <c r="G27" s="677">
        <v>1.24</v>
      </c>
      <c r="H27" s="677">
        <v>496</v>
      </c>
      <c r="I27" s="677" t="s">
        <v>692</v>
      </c>
      <c r="J27" s="678">
        <v>0.1004</v>
      </c>
      <c r="K27" s="677" t="s">
        <v>687</v>
      </c>
    </row>
    <row r="28" spans="2:12">
      <c r="B28" s="677" t="s">
        <v>738</v>
      </c>
      <c r="C28" s="676" t="s">
        <v>699</v>
      </c>
      <c r="D28" s="677" t="s">
        <v>683</v>
      </c>
      <c r="E28" s="677" t="s">
        <v>684</v>
      </c>
      <c r="F28" s="677" t="s">
        <v>739</v>
      </c>
      <c r="G28" s="677">
        <v>0.95</v>
      </c>
      <c r="H28" s="677">
        <v>380</v>
      </c>
      <c r="I28" s="677" t="s">
        <v>692</v>
      </c>
      <c r="J28" s="678">
        <v>7.6999999999999999E-2</v>
      </c>
      <c r="K28" s="677" t="s">
        <v>687</v>
      </c>
    </row>
    <row r="29" spans="2:12">
      <c r="B29" s="677" t="s">
        <v>740</v>
      </c>
      <c r="C29" s="676" t="s">
        <v>682</v>
      </c>
      <c r="D29" s="677" t="s">
        <v>683</v>
      </c>
      <c r="E29" s="677" t="s">
        <v>684</v>
      </c>
      <c r="F29" s="677" t="s">
        <v>645</v>
      </c>
      <c r="G29" s="677">
        <v>4.26</v>
      </c>
      <c r="H29" s="677">
        <v>1278</v>
      </c>
      <c r="I29" s="677" t="s">
        <v>692</v>
      </c>
      <c r="J29" s="678">
        <v>0.34510000000000002</v>
      </c>
      <c r="K29" s="677" t="s">
        <v>687</v>
      </c>
    </row>
    <row r="30" spans="2:12">
      <c r="B30" s="943" t="s">
        <v>509</v>
      </c>
      <c r="C30" s="944" t="s">
        <v>682</v>
      </c>
      <c r="D30" s="945" t="s">
        <v>683</v>
      </c>
      <c r="E30" s="945" t="s">
        <v>684</v>
      </c>
      <c r="F30" s="945" t="s">
        <v>720</v>
      </c>
      <c r="G30" s="945">
        <v>1.2</v>
      </c>
      <c r="H30" s="945">
        <v>120</v>
      </c>
      <c r="I30" s="945" t="s">
        <v>686</v>
      </c>
      <c r="J30" s="946">
        <v>9.7199999999999995E-2</v>
      </c>
      <c r="K30" s="945" t="s">
        <v>687</v>
      </c>
      <c r="L30" s="674" t="s">
        <v>693</v>
      </c>
    </row>
    <row r="31" spans="2:12">
      <c r="B31" s="675" t="s">
        <v>741</v>
      </c>
      <c r="C31" s="676" t="s">
        <v>699</v>
      </c>
      <c r="D31" s="677" t="s">
        <v>683</v>
      </c>
      <c r="E31" s="677" t="s">
        <v>684</v>
      </c>
      <c r="F31" s="677" t="s">
        <v>645</v>
      </c>
      <c r="G31" s="677">
        <v>2.25</v>
      </c>
      <c r="H31" s="677">
        <v>675</v>
      </c>
      <c r="I31" s="677" t="s">
        <v>692</v>
      </c>
      <c r="J31" s="678">
        <v>0.18229999999999999</v>
      </c>
      <c r="K31" s="677" t="s">
        <v>687</v>
      </c>
    </row>
    <row r="32" spans="2:12">
      <c r="B32" s="677" t="s">
        <v>742</v>
      </c>
      <c r="C32" s="676" t="s">
        <v>682</v>
      </c>
      <c r="D32" s="677" t="s">
        <v>683</v>
      </c>
      <c r="E32" s="677" t="s">
        <v>684</v>
      </c>
      <c r="F32" s="677" t="s">
        <v>743</v>
      </c>
      <c r="G32" s="677">
        <v>3.68</v>
      </c>
      <c r="H32" s="677">
        <v>1104</v>
      </c>
      <c r="I32" s="677" t="s">
        <v>686</v>
      </c>
      <c r="J32" s="678">
        <v>0.29809999999999998</v>
      </c>
      <c r="K32" s="677" t="s">
        <v>687</v>
      </c>
    </row>
    <row r="33" spans="2:12">
      <c r="B33" s="677" t="s">
        <v>744</v>
      </c>
      <c r="C33" s="676" t="s">
        <v>702</v>
      </c>
      <c r="D33" s="677" t="s">
        <v>704</v>
      </c>
      <c r="E33" s="677" t="s">
        <v>684</v>
      </c>
      <c r="F33" s="677" t="s">
        <v>138</v>
      </c>
      <c r="G33" s="677">
        <v>1.9</v>
      </c>
      <c r="H33" s="677">
        <v>570</v>
      </c>
      <c r="I33" s="677" t="s">
        <v>692</v>
      </c>
      <c r="J33" s="678">
        <v>0.15390000000000001</v>
      </c>
      <c r="K33" s="677" t="s">
        <v>687</v>
      </c>
    </row>
    <row r="34" spans="2:12">
      <c r="B34" s="935" t="s">
        <v>745</v>
      </c>
      <c r="C34" s="936" t="s">
        <v>746</v>
      </c>
      <c r="D34" s="937" t="s">
        <v>683</v>
      </c>
      <c r="E34" s="937" t="s">
        <v>684</v>
      </c>
      <c r="F34" s="937" t="s">
        <v>697</v>
      </c>
      <c r="G34" s="937">
        <v>1.46</v>
      </c>
      <c r="H34" s="937">
        <v>146</v>
      </c>
      <c r="I34" s="937" t="s">
        <v>686</v>
      </c>
      <c r="J34" s="938">
        <v>0.1183</v>
      </c>
      <c r="K34" s="937" t="s">
        <v>687</v>
      </c>
      <c r="L34" s="674" t="s">
        <v>693</v>
      </c>
    </row>
    <row r="35" spans="2:12">
      <c r="B35" s="947" t="s">
        <v>330</v>
      </c>
      <c r="C35" s="936" t="s">
        <v>747</v>
      </c>
      <c r="D35" s="937" t="s">
        <v>689</v>
      </c>
      <c r="E35" s="937" t="s">
        <v>690</v>
      </c>
      <c r="F35" s="937" t="s">
        <v>138</v>
      </c>
      <c r="G35" s="937">
        <v>1.18</v>
      </c>
      <c r="H35" s="937">
        <v>472</v>
      </c>
      <c r="I35" s="937" t="s">
        <v>692</v>
      </c>
      <c r="J35" s="938">
        <v>9.5600000000000004E-2</v>
      </c>
      <c r="K35" s="937" t="s">
        <v>687</v>
      </c>
      <c r="L35" s="674" t="s">
        <v>693</v>
      </c>
    </row>
    <row r="36" spans="2:12">
      <c r="B36" s="677" t="s">
        <v>748</v>
      </c>
      <c r="C36" s="676" t="s">
        <v>749</v>
      </c>
      <c r="D36" s="677" t="s">
        <v>689</v>
      </c>
      <c r="E36" s="677" t="s">
        <v>690</v>
      </c>
      <c r="F36" s="677" t="s">
        <v>132</v>
      </c>
      <c r="G36" s="677">
        <v>0.15</v>
      </c>
      <c r="H36" s="677">
        <v>30</v>
      </c>
      <c r="I36" s="677" t="s">
        <v>692</v>
      </c>
      <c r="J36" s="678">
        <v>1.2200000000000001E-2</v>
      </c>
      <c r="K36" s="677" t="s">
        <v>709</v>
      </c>
    </row>
    <row r="37" spans="2:12">
      <c r="B37" s="677" t="s">
        <v>750</v>
      </c>
      <c r="C37" s="676" t="s">
        <v>751</v>
      </c>
      <c r="D37" s="677" t="s">
        <v>683</v>
      </c>
      <c r="E37" s="677" t="s">
        <v>684</v>
      </c>
      <c r="F37" s="677" t="s">
        <v>697</v>
      </c>
      <c r="G37" s="677">
        <v>4.5599999999999996</v>
      </c>
      <c r="H37" s="677">
        <v>1368</v>
      </c>
      <c r="I37" s="677" t="s">
        <v>686</v>
      </c>
      <c r="J37" s="678">
        <v>0.36940000000000001</v>
      </c>
      <c r="K37" s="677" t="s">
        <v>687</v>
      </c>
    </row>
    <row r="38" spans="2:12">
      <c r="B38" s="677" t="s">
        <v>752</v>
      </c>
      <c r="C38" s="676" t="s">
        <v>702</v>
      </c>
      <c r="D38" s="677" t="s">
        <v>683</v>
      </c>
      <c r="E38" s="677" t="s">
        <v>684</v>
      </c>
      <c r="F38" s="677" t="s">
        <v>645</v>
      </c>
      <c r="G38" s="677">
        <v>2</v>
      </c>
      <c r="H38" s="677">
        <v>800</v>
      </c>
      <c r="I38" s="677" t="s">
        <v>692</v>
      </c>
      <c r="J38" s="678">
        <v>0.16200000000000001</v>
      </c>
      <c r="K38" s="677" t="s">
        <v>687</v>
      </c>
    </row>
    <row r="39" spans="2:12">
      <c r="B39" s="677" t="s">
        <v>753</v>
      </c>
      <c r="C39" s="676" t="s">
        <v>702</v>
      </c>
      <c r="D39" s="677" t="s">
        <v>683</v>
      </c>
      <c r="E39" s="677" t="s">
        <v>684</v>
      </c>
      <c r="F39" s="677" t="s">
        <v>754</v>
      </c>
      <c r="G39" s="677">
        <v>2.2599999999999998</v>
      </c>
      <c r="H39" s="677">
        <v>226</v>
      </c>
      <c r="I39" s="677" t="s">
        <v>686</v>
      </c>
      <c r="J39" s="678">
        <v>0.18310000000000001</v>
      </c>
      <c r="K39" s="677" t="s">
        <v>687</v>
      </c>
    </row>
    <row r="40" spans="2:12">
      <c r="B40" s="677" t="s">
        <v>755</v>
      </c>
      <c r="C40" s="676" t="s">
        <v>756</v>
      </c>
      <c r="D40" s="677" t="s">
        <v>683</v>
      </c>
      <c r="E40" s="677" t="s">
        <v>684</v>
      </c>
      <c r="F40" s="677" t="s">
        <v>725</v>
      </c>
      <c r="G40" s="677">
        <v>3.73</v>
      </c>
      <c r="H40" s="677">
        <v>1492</v>
      </c>
      <c r="I40" s="677" t="s">
        <v>686</v>
      </c>
      <c r="J40" s="678">
        <v>0.30209999999999998</v>
      </c>
      <c r="K40" s="677" t="s">
        <v>687</v>
      </c>
    </row>
    <row r="41" spans="2:12">
      <c r="B41" s="937" t="s">
        <v>368</v>
      </c>
      <c r="C41" s="936" t="s">
        <v>757</v>
      </c>
      <c r="D41" s="937" t="s">
        <v>683</v>
      </c>
      <c r="E41" s="937" t="s">
        <v>684</v>
      </c>
      <c r="F41" s="937" t="s">
        <v>743</v>
      </c>
      <c r="G41" s="937"/>
      <c r="H41" s="937"/>
      <c r="I41" s="937" t="s">
        <v>758</v>
      </c>
      <c r="J41" s="938" t="s">
        <v>758</v>
      </c>
      <c r="K41" s="937" t="s">
        <v>758</v>
      </c>
      <c r="L41" s="674" t="s">
        <v>693</v>
      </c>
    </row>
    <row r="42" spans="2:12">
      <c r="B42" s="677" t="s">
        <v>759</v>
      </c>
      <c r="C42" s="676" t="s">
        <v>760</v>
      </c>
      <c r="D42" s="677" t="s">
        <v>683</v>
      </c>
      <c r="E42" s="677" t="s">
        <v>684</v>
      </c>
      <c r="F42" s="677" t="s">
        <v>700</v>
      </c>
      <c r="G42" s="677">
        <v>4.37</v>
      </c>
      <c r="H42" s="677">
        <v>874</v>
      </c>
      <c r="I42" s="677" t="s">
        <v>692</v>
      </c>
      <c r="J42" s="678">
        <v>0.35399999999999998</v>
      </c>
      <c r="K42" s="677" t="s">
        <v>687</v>
      </c>
    </row>
    <row r="43" spans="2:12">
      <c r="B43" s="677" t="s">
        <v>761</v>
      </c>
      <c r="C43" s="676" t="s">
        <v>762</v>
      </c>
      <c r="D43" s="677" t="s">
        <v>689</v>
      </c>
      <c r="E43" s="677" t="s">
        <v>690</v>
      </c>
      <c r="F43" s="677" t="s">
        <v>685</v>
      </c>
      <c r="G43" s="677">
        <v>0.33</v>
      </c>
      <c r="H43" s="677">
        <v>132</v>
      </c>
      <c r="I43" s="677" t="s">
        <v>692</v>
      </c>
      <c r="J43" s="678">
        <v>2.6700000000000002E-2</v>
      </c>
      <c r="K43" s="677" t="s">
        <v>709</v>
      </c>
    </row>
    <row r="44" spans="2:12">
      <c r="B44" s="675" t="s">
        <v>763</v>
      </c>
      <c r="C44" s="676" t="s">
        <v>764</v>
      </c>
      <c r="D44" s="677" t="s">
        <v>683</v>
      </c>
      <c r="E44" s="677" t="s">
        <v>684</v>
      </c>
      <c r="F44" s="677" t="s">
        <v>645</v>
      </c>
      <c r="G44" s="677">
        <v>2.5499999999999998</v>
      </c>
      <c r="H44" s="677">
        <v>255</v>
      </c>
      <c r="I44" s="677" t="s">
        <v>692</v>
      </c>
      <c r="J44" s="678">
        <v>0.20660000000000001</v>
      </c>
      <c r="K44" s="677" t="s">
        <v>687</v>
      </c>
    </row>
    <row r="45" spans="2:12">
      <c r="B45" s="947" t="s">
        <v>765</v>
      </c>
      <c r="C45" s="936" t="s">
        <v>732</v>
      </c>
      <c r="D45" s="937" t="s">
        <v>689</v>
      </c>
      <c r="E45" s="937" t="s">
        <v>690</v>
      </c>
      <c r="F45" s="937" t="s">
        <v>705</v>
      </c>
      <c r="G45" s="937">
        <v>1.05</v>
      </c>
      <c r="H45" s="937">
        <v>105</v>
      </c>
      <c r="I45" s="937" t="s">
        <v>692</v>
      </c>
      <c r="J45" s="938">
        <v>8.5099999999999995E-2</v>
      </c>
      <c r="K45" s="937" t="s">
        <v>687</v>
      </c>
      <c r="L45" s="674" t="s">
        <v>693</v>
      </c>
    </row>
    <row r="46" spans="2:12">
      <c r="B46" s="675" t="s">
        <v>766</v>
      </c>
      <c r="C46" s="676" t="s">
        <v>729</v>
      </c>
      <c r="D46" s="677" t="s">
        <v>704</v>
      </c>
      <c r="E46" s="677" t="s">
        <v>708</v>
      </c>
      <c r="F46" s="677" t="s">
        <v>705</v>
      </c>
      <c r="G46" s="677">
        <v>1.17</v>
      </c>
      <c r="H46" s="677">
        <v>351</v>
      </c>
      <c r="I46" s="677" t="s">
        <v>692</v>
      </c>
      <c r="J46" s="678">
        <v>9.4799999999999995E-2</v>
      </c>
      <c r="K46" s="677" t="s">
        <v>687</v>
      </c>
    </row>
    <row r="47" spans="2:12">
      <c r="B47" s="677" t="s">
        <v>767</v>
      </c>
      <c r="C47" s="676" t="s">
        <v>682</v>
      </c>
      <c r="D47" s="677" t="s">
        <v>683</v>
      </c>
      <c r="E47" s="677" t="s">
        <v>684</v>
      </c>
      <c r="F47" s="677" t="s">
        <v>768</v>
      </c>
      <c r="G47" s="677">
        <v>3.28</v>
      </c>
      <c r="H47" s="677">
        <v>656</v>
      </c>
      <c r="I47" s="677" t="s">
        <v>686</v>
      </c>
      <c r="J47" s="678">
        <v>0.26569999999999999</v>
      </c>
      <c r="K47" s="677" t="s">
        <v>687</v>
      </c>
    </row>
    <row r="48" spans="2:12">
      <c r="B48" s="733" t="s">
        <v>769</v>
      </c>
      <c r="C48" s="734" t="s">
        <v>749</v>
      </c>
      <c r="D48" s="733" t="s">
        <v>689</v>
      </c>
      <c r="E48" s="733" t="s">
        <v>690</v>
      </c>
      <c r="F48" s="733" t="s">
        <v>115</v>
      </c>
      <c r="G48" s="733">
        <v>0.4</v>
      </c>
      <c r="H48" s="733">
        <v>80</v>
      </c>
      <c r="I48" s="733" t="s">
        <v>692</v>
      </c>
      <c r="J48" s="735">
        <v>3.2399999999999998E-2</v>
      </c>
      <c r="K48" s="733" t="s">
        <v>770</v>
      </c>
    </row>
    <row r="49" spans="2:13">
      <c r="B49" s="677" t="s">
        <v>771</v>
      </c>
      <c r="C49" s="676" t="s">
        <v>751</v>
      </c>
      <c r="D49" s="677" t="s">
        <v>683</v>
      </c>
      <c r="E49" s="677" t="s">
        <v>684</v>
      </c>
      <c r="F49" s="677" t="s">
        <v>645</v>
      </c>
      <c r="G49" s="677">
        <v>1.9</v>
      </c>
      <c r="H49" s="677">
        <v>760</v>
      </c>
      <c r="I49" s="677" t="s">
        <v>692</v>
      </c>
      <c r="J49" s="678">
        <v>0.15390000000000001</v>
      </c>
      <c r="K49" s="677" t="s">
        <v>687</v>
      </c>
    </row>
    <row r="50" spans="2:13">
      <c r="B50" s="677" t="s">
        <v>772</v>
      </c>
      <c r="C50" s="676" t="s">
        <v>751</v>
      </c>
      <c r="D50" s="677" t="s">
        <v>683</v>
      </c>
      <c r="E50" s="677" t="s">
        <v>684</v>
      </c>
      <c r="F50" s="677" t="s">
        <v>697</v>
      </c>
      <c r="G50" s="677" t="s">
        <v>758</v>
      </c>
      <c r="H50" s="677" t="s">
        <v>758</v>
      </c>
      <c r="I50" s="677" t="s">
        <v>692</v>
      </c>
      <c r="J50" s="678" t="s">
        <v>758</v>
      </c>
      <c r="K50" s="677" t="s">
        <v>758</v>
      </c>
    </row>
    <row r="51" spans="2:13">
      <c r="B51" s="677" t="s">
        <v>773</v>
      </c>
      <c r="C51" s="676" t="s">
        <v>699</v>
      </c>
      <c r="D51" s="677" t="s">
        <v>683</v>
      </c>
      <c r="E51" s="677" t="s">
        <v>684</v>
      </c>
      <c r="F51" s="677" t="s">
        <v>705</v>
      </c>
      <c r="G51" s="677">
        <v>1.2</v>
      </c>
      <c r="H51" s="677">
        <v>240</v>
      </c>
      <c r="I51" s="677" t="s">
        <v>686</v>
      </c>
      <c r="J51" s="678">
        <v>9.7199999999999995E-2</v>
      </c>
      <c r="K51" s="677" t="s">
        <v>687</v>
      </c>
    </row>
    <row r="52" spans="2:13">
      <c r="B52" s="947" t="s">
        <v>383</v>
      </c>
      <c r="C52" s="936" t="s">
        <v>702</v>
      </c>
      <c r="D52" s="937" t="s">
        <v>704</v>
      </c>
      <c r="E52" s="937" t="s">
        <v>708</v>
      </c>
      <c r="F52" s="937" t="s">
        <v>697</v>
      </c>
      <c r="G52" s="937">
        <v>1.68</v>
      </c>
      <c r="H52" s="937">
        <v>504</v>
      </c>
      <c r="I52" s="937" t="s">
        <v>686</v>
      </c>
      <c r="J52" s="938">
        <v>0.1361</v>
      </c>
      <c r="K52" s="937" t="s">
        <v>687</v>
      </c>
      <c r="L52" s="674" t="s">
        <v>693</v>
      </c>
    </row>
    <row r="53" spans="2:13">
      <c r="B53" s="677" t="s">
        <v>774</v>
      </c>
      <c r="C53" s="676" t="s">
        <v>775</v>
      </c>
      <c r="D53" s="677" t="s">
        <v>704</v>
      </c>
      <c r="E53" s="677" t="s">
        <v>708</v>
      </c>
      <c r="F53" s="677" t="s">
        <v>705</v>
      </c>
      <c r="G53" s="677">
        <v>0.5</v>
      </c>
      <c r="H53" s="677">
        <v>150</v>
      </c>
      <c r="I53" s="677" t="s">
        <v>686</v>
      </c>
      <c r="J53" s="678">
        <v>4.0500000000000001E-2</v>
      </c>
      <c r="K53" s="677" t="s">
        <v>770</v>
      </c>
    </row>
    <row r="54" spans="2:13">
      <c r="B54" s="677" t="s">
        <v>776</v>
      </c>
      <c r="C54" s="676" t="s">
        <v>702</v>
      </c>
      <c r="D54" s="677" t="s">
        <v>683</v>
      </c>
      <c r="E54" s="677" t="s">
        <v>684</v>
      </c>
      <c r="F54" s="677" t="s">
        <v>138</v>
      </c>
      <c r="G54" s="677">
        <v>3.68</v>
      </c>
      <c r="H54" s="677">
        <v>368</v>
      </c>
      <c r="I54" s="677" t="s">
        <v>686</v>
      </c>
      <c r="J54" s="678">
        <v>0.29809999999999998</v>
      </c>
      <c r="K54" s="677" t="s">
        <v>687</v>
      </c>
    </row>
    <row r="55" spans="2:13">
      <c r="B55" s="677" t="s">
        <v>777</v>
      </c>
      <c r="C55" s="676" t="s">
        <v>699</v>
      </c>
      <c r="D55" s="677" t="s">
        <v>683</v>
      </c>
      <c r="E55" s="677" t="s">
        <v>684</v>
      </c>
      <c r="F55" s="677" t="s">
        <v>645</v>
      </c>
      <c r="G55" s="677">
        <v>1.64</v>
      </c>
      <c r="H55" s="677">
        <v>328</v>
      </c>
      <c r="I55" s="677" t="s">
        <v>692</v>
      </c>
      <c r="J55" s="678">
        <v>0.1328</v>
      </c>
      <c r="K55" s="677" t="s">
        <v>687</v>
      </c>
    </row>
    <row r="56" spans="2:13">
      <c r="B56" s="733" t="s">
        <v>778</v>
      </c>
      <c r="C56" s="734" t="s">
        <v>775</v>
      </c>
      <c r="D56" s="733" t="s">
        <v>704</v>
      </c>
      <c r="E56" s="733" t="s">
        <v>708</v>
      </c>
      <c r="F56" s="733" t="s">
        <v>115</v>
      </c>
      <c r="G56" s="733">
        <v>0.09</v>
      </c>
      <c r="H56" s="733">
        <v>27</v>
      </c>
      <c r="I56" s="733" t="s">
        <v>692</v>
      </c>
      <c r="J56" s="735">
        <v>7.3000000000000001E-3</v>
      </c>
      <c r="K56" s="733" t="s">
        <v>709</v>
      </c>
    </row>
    <row r="57" spans="2:13">
      <c r="B57" s="677" t="s">
        <v>779</v>
      </c>
      <c r="C57" s="676" t="s">
        <v>682</v>
      </c>
      <c r="D57" s="677" t="s">
        <v>683</v>
      </c>
      <c r="E57" s="677" t="s">
        <v>684</v>
      </c>
      <c r="F57" s="677" t="s">
        <v>645</v>
      </c>
      <c r="G57" s="677">
        <v>3.81</v>
      </c>
      <c r="H57" s="677">
        <v>762</v>
      </c>
      <c r="I57" s="677" t="s">
        <v>692</v>
      </c>
      <c r="J57" s="678">
        <v>0.30859999999999999</v>
      </c>
      <c r="K57" s="677" t="s">
        <v>687</v>
      </c>
    </row>
    <row r="58" spans="2:13">
      <c r="B58" s="675" t="s">
        <v>780</v>
      </c>
      <c r="C58" s="676" t="s">
        <v>781</v>
      </c>
      <c r="D58" s="677" t="s">
        <v>689</v>
      </c>
      <c r="E58" s="677" t="s">
        <v>690</v>
      </c>
      <c r="F58" s="677" t="s">
        <v>782</v>
      </c>
      <c r="G58" s="677">
        <v>0.32</v>
      </c>
      <c r="H58" s="677">
        <v>32</v>
      </c>
      <c r="I58" s="677" t="s">
        <v>692</v>
      </c>
      <c r="J58" s="678">
        <v>2.5899999999999999E-2</v>
      </c>
      <c r="K58" s="677" t="s">
        <v>709</v>
      </c>
    </row>
    <row r="59" spans="2:13" ht="14" customHeight="1">
      <c r="L59" s="763">
        <f>COUNTA(L6:L58)</f>
        <v>10</v>
      </c>
      <c r="M59" t="s">
        <v>783</v>
      </c>
    </row>
    <row r="62" spans="2:13" ht="20" customHeight="1">
      <c r="B62" s="355" t="s">
        <v>784</v>
      </c>
    </row>
    <row r="63" spans="2:13">
      <c r="B63" s="764" t="e">
        <v>#VALUE!</v>
      </c>
      <c r="E63" t="e" vm="5">
        <f t="array" ref="E63">_FV(B63,"Símbolo bursátil",TRUE)</f>
        <v>#VALUE!</v>
      </c>
      <c r="F63" s="761" t="e" vm="6">
        <f t="array" ref="F63">_FV(B63,"Precio")</f>
        <v>#VALUE!</v>
      </c>
    </row>
    <row r="64" spans="2:13">
      <c r="B64" s="347" t="e">
        <v>#VALUE!</v>
      </c>
      <c r="E64" t="e" vm="5">
        <f t="array" ref="E64">_FV(B64,"Símbolo bursátil",TRUE)</f>
        <v>#VALUE!</v>
      </c>
      <c r="F64" s="761" t="e" vm="6">
        <f t="array" ref="F64">_FV(B64,"Precio")</f>
        <v>#VALUE!</v>
      </c>
    </row>
    <row r="65" spans="2:6">
      <c r="B65" s="347" t="e">
        <v>#VALUE!</v>
      </c>
      <c r="E65" t="e" vm="5">
        <f t="array" ref="E65">_FV(B65,"Símbolo bursátil",TRUE)</f>
        <v>#VALUE!</v>
      </c>
      <c r="F65" s="761" t="e" vm="6">
        <f t="array" ref="F65">_FV(B65,"Precio")</f>
        <v>#VALUE!</v>
      </c>
    </row>
    <row r="66" spans="2:6">
      <c r="B66" s="347" t="e">
        <v>#VALUE!</v>
      </c>
      <c r="E66" t="e" vm="5">
        <f t="array" ref="E66">_FV(B66,"Símbolo bursátil",TRUE)</f>
        <v>#VALUE!</v>
      </c>
      <c r="F66" s="761" t="e" vm="6">
        <f t="array" ref="F66">_FV(B66,"Precio")</f>
        <v>#VALUE!</v>
      </c>
    </row>
    <row r="67" spans="2:6">
      <c r="B67" s="347" t="e">
        <v>#VALUE!</v>
      </c>
      <c r="E67" t="e" vm="5">
        <f t="array" ref="E67">_FV(B67,"Símbolo bursátil",TRUE)</f>
        <v>#VALUE!</v>
      </c>
      <c r="F67" s="761" t="e" vm="6">
        <f t="array" ref="F67">_FV(B67,"Precio")</f>
        <v>#VALUE!</v>
      </c>
    </row>
    <row r="68" spans="2:6">
      <c r="B68" s="347" t="e">
        <v>#VALUE!</v>
      </c>
      <c r="E68" t="e" vm="5">
        <f t="array" ref="E68">_FV(B68,"Símbolo bursátil",TRUE)</f>
        <v>#VALUE!</v>
      </c>
      <c r="F68" s="761" t="e" vm="6">
        <f t="array" ref="F68">_FV(B68,"Precio")</f>
        <v>#VALUE!</v>
      </c>
    </row>
    <row r="69" spans="2:6">
      <c r="B69" s="347" t="e">
        <v>#VALUE!</v>
      </c>
      <c r="E69" t="e" vm="5">
        <f t="array" ref="E69">_FV(B69,"Símbolo bursátil",TRUE)</f>
        <v>#VALUE!</v>
      </c>
      <c r="F69" s="761" t="e" vm="6">
        <f t="array" ref="F69">_FV(B69,"Precio")</f>
        <v>#VALUE!</v>
      </c>
    </row>
    <row r="70" spans="2:6">
      <c r="B70" t="e">
        <v>#VALUE!</v>
      </c>
      <c r="E70" t="e" vm="5">
        <f t="array" ref="E70">_FV(B70,"Símbolo bursátil",TRUE)</f>
        <v>#VALUE!</v>
      </c>
      <c r="F70" s="761" t="e" vm="6">
        <f t="array" ref="F70">_FV(B70,"Precio")</f>
        <v>#VALUE!</v>
      </c>
    </row>
  </sheetData>
  <autoFilter ref="B5:L58" xr:uid="{00000000-0009-0000-0000-000009000000}"/>
  <conditionalFormatting sqref="F6:F58">
    <cfRule type="containsText" dxfId="15" priority="1" operator="containsText" text="INDUSTRIA">
      <formula>NOT(ISERROR(SEARCH("INDUSTRIA",F6)))</formula>
    </cfRule>
    <cfRule type="containsText" dxfId="14" priority="2" operator="containsText" text="TRANSPORTE">
      <formula>NOT(ISERROR(SEARCH("TRANSPORTE",F6)))</formula>
    </cfRule>
    <cfRule type="containsText" dxfId="13" priority="3" operator="containsText" text="UTILITIES">
      <formula>NOT(ISERROR(SEARCH("UTILITIES",F6)))</formula>
    </cfRule>
    <cfRule type="containsText" dxfId="12" priority="4" operator="containsText" text="ALIMENTACI">
      <formula>NOT(ISERROR(SEARCH("ALIMENTACI",F6)))</formula>
    </cfRule>
    <cfRule type="cellIs" dxfId="11" priority="5" operator="equal">
      <formula>"REIT"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44"/>
  <sheetViews>
    <sheetView showGridLines="0" zoomScale="120" zoomScaleNormal="120" workbookViewId="0">
      <pane ySplit="3" topLeftCell="A4" activePane="bottomLeft" state="frozen"/>
      <selection pane="bottomLeft" activeCell="D45" sqref="D45"/>
    </sheetView>
  </sheetViews>
  <sheetFormatPr baseColWidth="10" defaultColWidth="12.5" defaultRowHeight="16"/>
  <cols>
    <col min="1" max="1" width="3.33203125" style="690" customWidth="1"/>
    <col min="2" max="2" width="10.1640625" style="690" bestFit="1" customWidth="1"/>
    <col min="3" max="3" width="42.83203125" style="690" bestFit="1" customWidth="1"/>
    <col min="4" max="5" width="7.83203125" style="690" bestFit="1" customWidth="1"/>
    <col min="6" max="6" width="5.33203125" style="690" bestFit="1" customWidth="1"/>
    <col min="7" max="7" width="3.5" style="690" bestFit="1" customWidth="1"/>
    <col min="8" max="9" width="9.33203125" style="690" bestFit="1" customWidth="1"/>
    <col min="10" max="10" width="6.33203125" style="690" bestFit="1" customWidth="1"/>
    <col min="11" max="11" width="5.33203125" style="690" customWidth="1"/>
    <col min="12" max="12" width="12.5" style="690" customWidth="1"/>
    <col min="13" max="16384" width="12.5" style="690"/>
  </cols>
  <sheetData>
    <row r="2" spans="2:14" ht="17" customHeight="1" thickBot="1"/>
    <row r="3" spans="2:14" ht="83" customHeight="1" thickBot="1">
      <c r="B3" s="691" t="s">
        <v>785</v>
      </c>
      <c r="C3" s="691" t="s">
        <v>786</v>
      </c>
      <c r="D3" s="692" t="s">
        <v>787</v>
      </c>
      <c r="E3" s="692" t="s">
        <v>788</v>
      </c>
      <c r="F3" s="692" t="s">
        <v>789</v>
      </c>
      <c r="G3" s="692" t="s">
        <v>790</v>
      </c>
      <c r="H3" s="692" t="s">
        <v>791</v>
      </c>
      <c r="I3" s="765" t="s">
        <v>792</v>
      </c>
      <c r="J3" s="692" t="s">
        <v>793</v>
      </c>
      <c r="K3" s="692" t="s">
        <v>64</v>
      </c>
    </row>
    <row r="4" spans="2:14" ht="17" customHeight="1" thickBot="1">
      <c r="B4" s="693" t="s">
        <v>794</v>
      </c>
      <c r="C4" s="693" t="s">
        <v>795</v>
      </c>
      <c r="D4" s="694">
        <v>44197</v>
      </c>
      <c r="E4" s="694" t="s">
        <v>226</v>
      </c>
      <c r="F4" s="695">
        <v>100</v>
      </c>
      <c r="G4" s="695">
        <v>1</v>
      </c>
      <c r="H4" s="695">
        <f ca="1">I4</f>
        <v>1946</v>
      </c>
      <c r="I4" s="696">
        <f ca="1">TODAY() - D4</f>
        <v>1946</v>
      </c>
      <c r="J4" s="697">
        <f ca="1">ROUND(I4/30,0)</f>
        <v>65</v>
      </c>
      <c r="K4" s="697">
        <f ca="1">I4/365</f>
        <v>5.3315068493150681</v>
      </c>
      <c r="M4" s="697">
        <f ca="1">ROUND(I4/30,0)</f>
        <v>65</v>
      </c>
      <c r="N4" s="690" t="s">
        <v>796</v>
      </c>
    </row>
    <row r="5" spans="2:14">
      <c r="B5" s="698" t="s">
        <v>794</v>
      </c>
      <c r="C5" s="698" t="s">
        <v>797</v>
      </c>
      <c r="D5" s="699">
        <v>44197</v>
      </c>
      <c r="E5" s="699">
        <v>44214</v>
      </c>
      <c r="F5" s="700"/>
      <c r="G5" s="700"/>
      <c r="H5" s="700">
        <v>18</v>
      </c>
      <c r="I5" s="701">
        <f>E5-D5 +1</f>
        <v>18</v>
      </c>
      <c r="J5" s="702"/>
      <c r="K5" s="702"/>
      <c r="M5" s="703">
        <f ca="1">I4/365</f>
        <v>5.3315068493150681</v>
      </c>
      <c r="N5" s="690" t="s">
        <v>798</v>
      </c>
    </row>
    <row r="6" spans="2:14">
      <c r="B6" s="698" t="s">
        <v>794</v>
      </c>
      <c r="C6" s="698" t="s">
        <v>797</v>
      </c>
      <c r="D6" s="699">
        <v>42248</v>
      </c>
      <c r="E6" s="699">
        <v>42249</v>
      </c>
      <c r="F6" s="700"/>
      <c r="G6" s="700"/>
      <c r="H6" s="700">
        <v>2</v>
      </c>
      <c r="I6" s="701">
        <f>E6-D6 +1</f>
        <v>2</v>
      </c>
      <c r="J6" s="702"/>
      <c r="K6" s="702"/>
    </row>
    <row r="7" spans="2:14">
      <c r="B7" s="698" t="s">
        <v>794</v>
      </c>
      <c r="C7" s="698" t="s">
        <v>797</v>
      </c>
      <c r="D7" s="699">
        <v>41573</v>
      </c>
      <c r="E7" s="699">
        <v>41581</v>
      </c>
      <c r="F7" s="700"/>
      <c r="G7" s="700"/>
      <c r="H7" s="700">
        <v>9</v>
      </c>
      <c r="I7" s="701">
        <f>E7-D7+1</f>
        <v>9</v>
      </c>
      <c r="J7" s="702"/>
      <c r="K7" s="702"/>
    </row>
    <row r="8" spans="2:14">
      <c r="B8" s="698" t="s">
        <v>794</v>
      </c>
      <c r="C8" s="698" t="s">
        <v>797</v>
      </c>
      <c r="D8" s="699">
        <v>40543</v>
      </c>
      <c r="E8" s="699">
        <v>40552</v>
      </c>
      <c r="F8" s="700"/>
      <c r="G8" s="700"/>
      <c r="H8" s="700">
        <v>10</v>
      </c>
      <c r="I8" s="701">
        <f>E8-D8+1</f>
        <v>10</v>
      </c>
      <c r="J8" s="702"/>
      <c r="K8" s="702"/>
    </row>
    <row r="9" spans="2:14">
      <c r="B9" s="698" t="s">
        <v>794</v>
      </c>
      <c r="C9" s="698" t="s">
        <v>797</v>
      </c>
      <c r="D9" s="699">
        <v>39904</v>
      </c>
      <c r="E9" s="699">
        <v>39911</v>
      </c>
      <c r="F9" s="700"/>
      <c r="G9" s="700"/>
      <c r="H9" s="700">
        <v>8</v>
      </c>
      <c r="I9" s="701">
        <f>E9-D9+1</f>
        <v>8</v>
      </c>
      <c r="J9" s="702"/>
      <c r="K9" s="702"/>
    </row>
    <row r="10" spans="2:14">
      <c r="B10" s="698" t="s">
        <v>794</v>
      </c>
      <c r="C10" s="698" t="s">
        <v>797</v>
      </c>
      <c r="D10" s="699">
        <v>38974</v>
      </c>
      <c r="E10" s="699">
        <v>38978</v>
      </c>
      <c r="F10" s="700"/>
      <c r="G10" s="700"/>
      <c r="H10" s="700">
        <v>5</v>
      </c>
      <c r="I10" s="701">
        <f>E10-D10 +1</f>
        <v>5</v>
      </c>
      <c r="J10" s="702"/>
      <c r="K10" s="702"/>
    </row>
    <row r="11" spans="2:14">
      <c r="B11" s="698" t="s">
        <v>794</v>
      </c>
      <c r="C11" s="698" t="s">
        <v>797</v>
      </c>
      <c r="D11" s="699">
        <v>38483</v>
      </c>
      <c r="E11" s="699">
        <v>38493</v>
      </c>
      <c r="F11" s="700"/>
      <c r="G11" s="700"/>
      <c r="H11" s="700">
        <v>11</v>
      </c>
      <c r="I11" s="701">
        <f>E11-D11 +1</f>
        <v>11</v>
      </c>
      <c r="J11" s="702"/>
      <c r="K11" s="702"/>
    </row>
    <row r="12" spans="2:14" ht="17" customHeight="1" thickBot="1">
      <c r="B12" s="698" t="s">
        <v>794</v>
      </c>
      <c r="C12" s="698" t="s">
        <v>797</v>
      </c>
      <c r="D12" s="699">
        <v>38101</v>
      </c>
      <c r="E12" s="699">
        <v>38119</v>
      </c>
      <c r="F12" s="700"/>
      <c r="G12" s="700"/>
      <c r="H12" s="700">
        <v>19</v>
      </c>
      <c r="I12" s="701">
        <f>E12-D12 +1</f>
        <v>19</v>
      </c>
      <c r="J12" s="702"/>
      <c r="K12" s="702"/>
    </row>
    <row r="13" spans="2:14" ht="17" customHeight="1" thickBot="1">
      <c r="B13" s="704" t="s">
        <v>794</v>
      </c>
      <c r="C13" s="705" t="s">
        <v>799</v>
      </c>
      <c r="D13" s="706">
        <v>42248</v>
      </c>
      <c r="E13" s="706">
        <v>44196</v>
      </c>
      <c r="F13" s="700">
        <v>100</v>
      </c>
      <c r="G13" s="700">
        <v>2</v>
      </c>
      <c r="H13" s="700">
        <v>1949</v>
      </c>
      <c r="I13" s="701">
        <f t="shared" ref="I13:I41" si="0">(E13-D13) +1</f>
        <v>1949</v>
      </c>
      <c r="J13" s="702">
        <f>ROUND(H13/30,1)</f>
        <v>65</v>
      </c>
      <c r="K13" s="697">
        <f>H13/365</f>
        <v>5.3397260273972602</v>
      </c>
      <c r="L13" s="690" t="s">
        <v>800</v>
      </c>
    </row>
    <row r="14" spans="2:14" ht="17" customHeight="1" thickBot="1">
      <c r="B14" s="704" t="s">
        <v>794</v>
      </c>
      <c r="C14" s="705" t="s">
        <v>801</v>
      </c>
      <c r="D14" s="706">
        <v>41575</v>
      </c>
      <c r="E14" s="706">
        <v>42247</v>
      </c>
      <c r="F14" s="700">
        <v>100</v>
      </c>
      <c r="G14" s="700">
        <v>2</v>
      </c>
      <c r="H14" s="700">
        <v>673</v>
      </c>
      <c r="I14" s="701">
        <f t="shared" si="0"/>
        <v>673</v>
      </c>
      <c r="J14" s="702">
        <f>ROUND(H14/30,0)</f>
        <v>22</v>
      </c>
      <c r="K14" s="697">
        <f>H14/365</f>
        <v>1.8438356164383563</v>
      </c>
    </row>
    <row r="15" spans="2:14" ht="17" customHeight="1" thickBot="1">
      <c r="B15" s="704" t="s">
        <v>794</v>
      </c>
      <c r="C15" s="705" t="s">
        <v>802</v>
      </c>
      <c r="D15" s="706">
        <v>40637</v>
      </c>
      <c r="E15" s="706">
        <v>41572</v>
      </c>
      <c r="F15" s="700">
        <v>100</v>
      </c>
      <c r="G15" s="700">
        <v>2</v>
      </c>
      <c r="H15" s="700">
        <v>936</v>
      </c>
      <c r="I15" s="701">
        <f t="shared" si="0"/>
        <v>936</v>
      </c>
      <c r="J15" s="702">
        <f>ROUND(H15/30,0)</f>
        <v>31</v>
      </c>
      <c r="K15" s="697">
        <f>H15/365</f>
        <v>2.5643835616438357</v>
      </c>
    </row>
    <row r="16" spans="2:14">
      <c r="B16" s="704" t="s">
        <v>794</v>
      </c>
      <c r="C16" s="705" t="s">
        <v>803</v>
      </c>
      <c r="D16" s="706">
        <v>40364</v>
      </c>
      <c r="E16" s="706">
        <v>40542</v>
      </c>
      <c r="F16" s="700">
        <v>100</v>
      </c>
      <c r="G16" s="700">
        <v>1</v>
      </c>
      <c r="H16" s="700">
        <v>179</v>
      </c>
      <c r="I16" s="701">
        <f t="shared" si="0"/>
        <v>179</v>
      </c>
      <c r="J16" s="702">
        <f>ROUND(H16/30,1)</f>
        <v>6</v>
      </c>
      <c r="K16" s="697">
        <f>H16/365</f>
        <v>0.49041095890410957</v>
      </c>
    </row>
    <row r="17" spans="2:12">
      <c r="B17" s="704" t="s">
        <v>804</v>
      </c>
      <c r="C17" s="704" t="s">
        <v>805</v>
      </c>
      <c r="D17" s="706">
        <v>39934</v>
      </c>
      <c r="E17" s="706">
        <v>40359</v>
      </c>
      <c r="F17" s="707"/>
      <c r="G17" s="707"/>
      <c r="H17" s="700">
        <v>426</v>
      </c>
      <c r="I17" s="701">
        <f t="shared" si="0"/>
        <v>426</v>
      </c>
      <c r="J17" s="702">
        <f>ROUND(H17/30,0)</f>
        <v>14</v>
      </c>
      <c r="K17" s="702">
        <f>H17/365</f>
        <v>1.167123287671233</v>
      </c>
      <c r="L17" s="863" t="s">
        <v>806</v>
      </c>
    </row>
    <row r="18" spans="2:12">
      <c r="B18" s="708" t="s">
        <v>794</v>
      </c>
      <c r="C18" s="708" t="s">
        <v>807</v>
      </c>
      <c r="D18" s="709">
        <v>39912</v>
      </c>
      <c r="E18" s="709">
        <v>39952</v>
      </c>
      <c r="F18" s="707"/>
      <c r="G18" s="707">
        <v>3</v>
      </c>
      <c r="H18" s="700">
        <v>19</v>
      </c>
      <c r="I18" s="710">
        <f t="shared" si="0"/>
        <v>41</v>
      </c>
      <c r="J18" s="702"/>
      <c r="K18" s="702"/>
    </row>
    <row r="19" spans="2:12">
      <c r="B19" s="704" t="s">
        <v>794</v>
      </c>
      <c r="C19" s="705" t="s">
        <v>808</v>
      </c>
      <c r="D19" s="706">
        <v>38985</v>
      </c>
      <c r="E19" s="706">
        <v>39903</v>
      </c>
      <c r="F19" s="707">
        <v>100</v>
      </c>
      <c r="G19" s="707">
        <v>3</v>
      </c>
      <c r="H19" s="700">
        <v>889</v>
      </c>
      <c r="I19" s="710">
        <f t="shared" si="0"/>
        <v>919</v>
      </c>
      <c r="J19" s="702">
        <f>ROUND(H19/30,0)</f>
        <v>30</v>
      </c>
      <c r="K19" s="702">
        <f>H19/365</f>
        <v>2.4356164383561643</v>
      </c>
    </row>
    <row r="20" spans="2:12">
      <c r="B20" s="704" t="s">
        <v>794</v>
      </c>
      <c r="C20" s="705" t="s">
        <v>809</v>
      </c>
      <c r="D20" s="706">
        <v>38677</v>
      </c>
      <c r="E20" s="706">
        <v>38973</v>
      </c>
      <c r="F20" s="707">
        <v>100</v>
      </c>
      <c r="G20" s="707">
        <v>3</v>
      </c>
      <c r="H20" s="700">
        <v>297</v>
      </c>
      <c r="I20" s="701">
        <f t="shared" si="0"/>
        <v>297</v>
      </c>
      <c r="J20" s="702">
        <f>ROUND(H20/30,0)</f>
        <v>10</v>
      </c>
      <c r="K20" s="702">
        <f>H20/365</f>
        <v>0.81369863013698629</v>
      </c>
    </row>
    <row r="21" spans="2:12">
      <c r="B21" s="708" t="s">
        <v>794</v>
      </c>
      <c r="C21" s="708" t="s">
        <v>807</v>
      </c>
      <c r="D21" s="709">
        <v>38494</v>
      </c>
      <c r="E21" s="709">
        <v>38676</v>
      </c>
      <c r="F21" s="707"/>
      <c r="G21" s="707">
        <v>1</v>
      </c>
      <c r="H21" s="700">
        <v>183</v>
      </c>
      <c r="I21" s="701">
        <f t="shared" si="0"/>
        <v>183</v>
      </c>
      <c r="J21" s="702"/>
      <c r="K21" s="702"/>
    </row>
    <row r="22" spans="2:12">
      <c r="B22" s="704" t="s">
        <v>794</v>
      </c>
      <c r="C22" s="705" t="s">
        <v>810</v>
      </c>
      <c r="D22" s="706">
        <v>38103</v>
      </c>
      <c r="E22" s="706">
        <v>38482</v>
      </c>
      <c r="F22" s="707">
        <v>100</v>
      </c>
      <c r="G22" s="707">
        <v>1</v>
      </c>
      <c r="H22" s="700">
        <v>380</v>
      </c>
      <c r="I22" s="701">
        <f t="shared" si="0"/>
        <v>380</v>
      </c>
      <c r="J22" s="702">
        <f>ROUND(H22/30,0)</f>
        <v>13</v>
      </c>
      <c r="K22" s="702">
        <f t="shared" ref="K22:K27" si="1">H22/365</f>
        <v>1.0410958904109588</v>
      </c>
    </row>
    <row r="23" spans="2:12">
      <c r="B23" s="704" t="s">
        <v>794</v>
      </c>
      <c r="C23" s="705" t="s">
        <v>811</v>
      </c>
      <c r="D23" s="706">
        <v>37712</v>
      </c>
      <c r="E23" s="706">
        <v>38100</v>
      </c>
      <c r="F23" s="707">
        <v>100</v>
      </c>
      <c r="G23" s="707">
        <v>3</v>
      </c>
      <c r="H23" s="700">
        <v>389</v>
      </c>
      <c r="I23" s="701">
        <f t="shared" si="0"/>
        <v>389</v>
      </c>
      <c r="J23" s="702">
        <f>ROUND(H23/30,1)</f>
        <v>13</v>
      </c>
      <c r="K23" s="702">
        <f t="shared" si="1"/>
        <v>1.0657534246575342</v>
      </c>
      <c r="L23" s="690" t="s">
        <v>812</v>
      </c>
    </row>
    <row r="24" spans="2:12">
      <c r="B24" s="704" t="s">
        <v>794</v>
      </c>
      <c r="C24" s="705" t="s">
        <v>813</v>
      </c>
      <c r="D24" s="706">
        <v>37288</v>
      </c>
      <c r="E24" s="706">
        <v>37711</v>
      </c>
      <c r="F24" s="707">
        <v>100</v>
      </c>
      <c r="G24" s="707">
        <v>3</v>
      </c>
      <c r="H24" s="700">
        <v>395</v>
      </c>
      <c r="I24" s="710">
        <f t="shared" si="0"/>
        <v>424</v>
      </c>
      <c r="J24" s="702">
        <f>ROUND(H24/30,0)</f>
        <v>13</v>
      </c>
      <c r="K24" s="702">
        <f t="shared" si="1"/>
        <v>1.0821917808219179</v>
      </c>
    </row>
    <row r="25" spans="2:12">
      <c r="B25" s="704" t="s">
        <v>794</v>
      </c>
      <c r="C25" s="704" t="s">
        <v>814</v>
      </c>
      <c r="D25" s="706">
        <v>36858</v>
      </c>
      <c r="E25" s="706">
        <v>37287</v>
      </c>
      <c r="F25" s="707">
        <v>109</v>
      </c>
      <c r="G25" s="707">
        <v>3</v>
      </c>
      <c r="H25" s="700">
        <v>430</v>
      </c>
      <c r="I25" s="701">
        <f t="shared" si="0"/>
        <v>430</v>
      </c>
      <c r="J25" s="702">
        <f>ROUND(H25/30,0)</f>
        <v>14</v>
      </c>
      <c r="K25" s="702">
        <f t="shared" si="1"/>
        <v>1.178082191780822</v>
      </c>
    </row>
    <row r="26" spans="2:12">
      <c r="B26" s="704" t="s">
        <v>815</v>
      </c>
      <c r="C26" s="705" t="s">
        <v>816</v>
      </c>
      <c r="D26" s="706">
        <v>36213</v>
      </c>
      <c r="E26" s="706">
        <v>36854</v>
      </c>
      <c r="F26" s="707">
        <v>19</v>
      </c>
      <c r="G26" s="707">
        <v>5</v>
      </c>
      <c r="H26" s="700">
        <v>642</v>
      </c>
      <c r="I26" s="701">
        <f t="shared" si="0"/>
        <v>642</v>
      </c>
      <c r="J26" s="702">
        <f>ROUND(H26/30,0)</f>
        <v>21</v>
      </c>
      <c r="K26" s="702">
        <f t="shared" si="1"/>
        <v>1.7589041095890412</v>
      </c>
    </row>
    <row r="27" spans="2:12">
      <c r="B27" s="704" t="s">
        <v>794</v>
      </c>
      <c r="C27" s="705" t="s">
        <v>817</v>
      </c>
      <c r="D27" s="706">
        <v>35831</v>
      </c>
      <c r="E27" s="706">
        <v>36160</v>
      </c>
      <c r="F27" s="707">
        <v>14</v>
      </c>
      <c r="G27" s="707">
        <v>4</v>
      </c>
      <c r="H27" s="700">
        <v>325</v>
      </c>
      <c r="I27" s="710">
        <f t="shared" si="0"/>
        <v>330</v>
      </c>
      <c r="J27" s="702">
        <f>ROUND(H27/30,0)</f>
        <v>11</v>
      </c>
      <c r="K27" s="702">
        <f t="shared" si="1"/>
        <v>0.8904109589041096</v>
      </c>
    </row>
    <row r="28" spans="2:12">
      <c r="B28" s="708" t="s">
        <v>794</v>
      </c>
      <c r="C28" s="708" t="s">
        <v>807</v>
      </c>
      <c r="D28" s="709">
        <v>35582</v>
      </c>
      <c r="E28" s="709">
        <v>35825</v>
      </c>
      <c r="F28" s="707"/>
      <c r="G28" s="707">
        <v>3</v>
      </c>
      <c r="H28" s="700">
        <v>244</v>
      </c>
      <c r="I28" s="701">
        <f t="shared" si="0"/>
        <v>244</v>
      </c>
      <c r="J28" s="702"/>
      <c r="K28" s="702"/>
    </row>
    <row r="29" spans="2:12">
      <c r="B29" s="704" t="s">
        <v>794</v>
      </c>
      <c r="C29" s="705" t="s">
        <v>818</v>
      </c>
      <c r="D29" s="706">
        <v>35034</v>
      </c>
      <c r="E29" s="706">
        <v>35581</v>
      </c>
      <c r="F29" s="707">
        <v>100</v>
      </c>
      <c r="G29" s="707">
        <v>3</v>
      </c>
      <c r="H29" s="700">
        <v>548</v>
      </c>
      <c r="I29" s="701">
        <f t="shared" si="0"/>
        <v>548</v>
      </c>
      <c r="J29" s="702">
        <f>ROUND(H29/30,0)</f>
        <v>18</v>
      </c>
      <c r="K29" s="702">
        <f>H29/365</f>
        <v>1.5013698630136987</v>
      </c>
    </row>
    <row r="30" spans="2:12">
      <c r="B30" s="704" t="s">
        <v>794</v>
      </c>
      <c r="C30" s="705" t="s">
        <v>819</v>
      </c>
      <c r="D30" s="706">
        <v>34655</v>
      </c>
      <c r="E30" s="706">
        <v>34930</v>
      </c>
      <c r="F30" s="707"/>
      <c r="G30" s="707">
        <v>2</v>
      </c>
      <c r="H30" s="700">
        <v>276</v>
      </c>
      <c r="I30" s="701">
        <f t="shared" si="0"/>
        <v>276</v>
      </c>
      <c r="J30" s="702">
        <f>ROUND(H30/30,0)</f>
        <v>9</v>
      </c>
      <c r="K30" s="702">
        <f>H30/365</f>
        <v>0.75616438356164384</v>
      </c>
      <c r="L30" s="690" t="s">
        <v>820</v>
      </c>
    </row>
    <row r="31" spans="2:12">
      <c r="B31" s="704" t="s">
        <v>794</v>
      </c>
      <c r="C31" s="705" t="s">
        <v>821</v>
      </c>
      <c r="D31" s="706">
        <v>33807</v>
      </c>
      <c r="E31" s="706">
        <v>33837</v>
      </c>
      <c r="F31" s="707"/>
      <c r="G31" s="707">
        <v>7</v>
      </c>
      <c r="H31" s="700">
        <v>31</v>
      </c>
      <c r="I31" s="701">
        <f t="shared" si="0"/>
        <v>31</v>
      </c>
      <c r="J31" s="702">
        <f>ROUND(H31/30,1)</f>
        <v>1</v>
      </c>
      <c r="K31" s="702">
        <f>H31/365</f>
        <v>8.4931506849315067E-2</v>
      </c>
      <c r="L31" s="690" t="s">
        <v>822</v>
      </c>
    </row>
    <row r="32" spans="2:12">
      <c r="B32" s="704" t="s">
        <v>794</v>
      </c>
      <c r="C32" s="704" t="s">
        <v>823</v>
      </c>
      <c r="D32" s="706">
        <v>33227</v>
      </c>
      <c r="E32" s="706">
        <v>33266</v>
      </c>
      <c r="F32" s="707"/>
      <c r="G32" s="707">
        <v>9</v>
      </c>
      <c r="H32" s="700">
        <v>40</v>
      </c>
      <c r="I32" s="701">
        <f t="shared" si="0"/>
        <v>40</v>
      </c>
      <c r="J32" s="702">
        <f>ROUND(H32/30,0)</f>
        <v>1</v>
      </c>
      <c r="K32" s="702">
        <f>H32/365</f>
        <v>0.1095890410958904</v>
      </c>
    </row>
    <row r="33" spans="2:13">
      <c r="B33" s="704" t="s">
        <v>794</v>
      </c>
      <c r="C33" s="704" t="s">
        <v>824</v>
      </c>
      <c r="D33" s="706">
        <v>33135</v>
      </c>
      <c r="E33" s="706">
        <v>33207</v>
      </c>
      <c r="F33" s="707"/>
      <c r="G33" s="707">
        <v>5</v>
      </c>
      <c r="H33" s="700">
        <v>65</v>
      </c>
      <c r="I33" s="710">
        <f t="shared" si="0"/>
        <v>73</v>
      </c>
      <c r="J33" s="702">
        <f>ROUND(H33/30,0)</f>
        <v>2</v>
      </c>
      <c r="K33" s="702">
        <f>H33/365</f>
        <v>0.17808219178082191</v>
      </c>
    </row>
    <row r="34" spans="2:13">
      <c r="B34" s="708" t="s">
        <v>794</v>
      </c>
      <c r="C34" s="708" t="s">
        <v>807</v>
      </c>
      <c r="D34" s="709">
        <v>32782</v>
      </c>
      <c r="E34" s="709">
        <v>32872</v>
      </c>
      <c r="F34" s="707"/>
      <c r="G34" s="707">
        <v>8</v>
      </c>
      <c r="H34" s="700">
        <v>91</v>
      </c>
      <c r="I34" s="701">
        <f t="shared" si="0"/>
        <v>91</v>
      </c>
      <c r="J34" s="702"/>
      <c r="K34" s="702"/>
    </row>
    <row r="35" spans="2:13">
      <c r="B35" s="704" t="s">
        <v>794</v>
      </c>
      <c r="C35" s="705" t="s">
        <v>825</v>
      </c>
      <c r="D35" s="706">
        <v>32660</v>
      </c>
      <c r="E35" s="706">
        <v>32781</v>
      </c>
      <c r="F35" s="707"/>
      <c r="G35" s="707">
        <v>8</v>
      </c>
      <c r="H35" s="700">
        <v>122</v>
      </c>
      <c r="I35" s="701">
        <f t="shared" si="0"/>
        <v>122</v>
      </c>
      <c r="J35" s="702">
        <f>ROUND(H35/30,0)</f>
        <v>4</v>
      </c>
      <c r="K35" s="702">
        <f>H35/365</f>
        <v>0.33424657534246577</v>
      </c>
      <c r="L35" s="690" t="s">
        <v>826</v>
      </c>
    </row>
    <row r="36" spans="2:13">
      <c r="B36" s="708" t="s">
        <v>794</v>
      </c>
      <c r="C36" s="708" t="s">
        <v>827</v>
      </c>
      <c r="D36" s="709">
        <v>32448</v>
      </c>
      <c r="E36" s="709">
        <v>32567</v>
      </c>
      <c r="F36" s="707"/>
      <c r="G36" s="707">
        <v>8</v>
      </c>
      <c r="H36" s="700"/>
      <c r="I36" s="710">
        <f t="shared" si="0"/>
        <v>120</v>
      </c>
      <c r="J36" s="702"/>
      <c r="K36" s="702"/>
    </row>
    <row r="37" spans="2:13">
      <c r="B37" s="704" t="s">
        <v>794</v>
      </c>
      <c r="C37" s="704" t="s">
        <v>825</v>
      </c>
      <c r="D37" s="706">
        <v>32295</v>
      </c>
      <c r="E37" s="706">
        <v>32416</v>
      </c>
      <c r="F37" s="707"/>
      <c r="G37" s="707">
        <v>8</v>
      </c>
      <c r="H37" s="700">
        <v>103</v>
      </c>
      <c r="I37" s="710">
        <f t="shared" si="0"/>
        <v>122</v>
      </c>
      <c r="J37" s="702">
        <f>ROUND(H37/30,0)</f>
        <v>3</v>
      </c>
      <c r="K37" s="702">
        <f>H37/365</f>
        <v>0.28219178082191781</v>
      </c>
    </row>
    <row r="38" spans="2:13">
      <c r="B38" s="708" t="s">
        <v>794</v>
      </c>
      <c r="C38" s="708" t="s">
        <v>807</v>
      </c>
      <c r="D38" s="709">
        <v>32051</v>
      </c>
      <c r="E38" s="709">
        <v>32141</v>
      </c>
      <c r="F38" s="707"/>
      <c r="G38" s="707"/>
      <c r="H38" s="700">
        <v>91</v>
      </c>
      <c r="I38" s="701">
        <f t="shared" si="0"/>
        <v>91</v>
      </c>
      <c r="J38" s="702"/>
      <c r="K38" s="702"/>
    </row>
    <row r="39" spans="2:13">
      <c r="B39" s="704" t="s">
        <v>794</v>
      </c>
      <c r="C39" s="704" t="s">
        <v>825</v>
      </c>
      <c r="D39" s="706">
        <v>31929</v>
      </c>
      <c r="E39" s="706">
        <v>32050</v>
      </c>
      <c r="F39" s="707"/>
      <c r="G39" s="707">
        <v>8</v>
      </c>
      <c r="H39" s="700">
        <v>114</v>
      </c>
      <c r="I39" s="710">
        <f t="shared" si="0"/>
        <v>122</v>
      </c>
      <c r="J39" s="702">
        <f>ROUND(H39/30,0)</f>
        <v>4</v>
      </c>
      <c r="K39" s="702">
        <f>H39/365</f>
        <v>0.31232876712328766</v>
      </c>
    </row>
    <row r="40" spans="2:13">
      <c r="B40" s="708" t="s">
        <v>794</v>
      </c>
      <c r="C40" s="708" t="s">
        <v>827</v>
      </c>
      <c r="D40" s="709">
        <v>31717</v>
      </c>
      <c r="E40" s="709">
        <v>31866</v>
      </c>
      <c r="F40" s="707"/>
      <c r="G40" s="707">
        <v>10</v>
      </c>
      <c r="H40" s="700"/>
      <c r="I40" s="710">
        <f t="shared" si="0"/>
        <v>150</v>
      </c>
      <c r="J40" s="702"/>
      <c r="K40" s="702"/>
    </row>
    <row r="41" spans="2:13">
      <c r="B41" s="704" t="s">
        <v>794</v>
      </c>
      <c r="C41" s="704" t="s">
        <v>825</v>
      </c>
      <c r="D41" s="706">
        <v>31533</v>
      </c>
      <c r="E41" s="706">
        <v>31685</v>
      </c>
      <c r="F41" s="707"/>
      <c r="G41" s="707">
        <v>8</v>
      </c>
      <c r="H41" s="700">
        <v>153</v>
      </c>
      <c r="I41" s="701">
        <f t="shared" si="0"/>
        <v>153</v>
      </c>
      <c r="J41" s="702">
        <f>ROUND(H41/30,0)</f>
        <v>5</v>
      </c>
      <c r="K41" s="702">
        <f>H41/365</f>
        <v>0.41917808219178082</v>
      </c>
    </row>
    <row r="42" spans="2:13">
      <c r="B42" s="711"/>
      <c r="C42" s="712"/>
      <c r="D42" s="713"/>
      <c r="E42" s="713"/>
      <c r="F42" s="711"/>
      <c r="G42" s="711"/>
      <c r="H42" s="711"/>
      <c r="I42" s="714"/>
      <c r="J42" s="715"/>
      <c r="K42" s="715"/>
    </row>
    <row r="43" spans="2:13" ht="21" customHeight="1">
      <c r="H43" s="716">
        <f ca="1">SUM(H4:H42)</f>
        <v>12018</v>
      </c>
      <c r="I43" s="792">
        <f ca="1">SUM(I4:I42)</f>
        <v>12409</v>
      </c>
      <c r="J43" s="716">
        <f ca="1">SUM(J4:J42)</f>
        <v>375</v>
      </c>
      <c r="K43" s="793">
        <f ca="1">SUM(K4:K42)</f>
        <v>30.98082191780821</v>
      </c>
      <c r="M43" s="717">
        <f ca="1">SUM(K13:K42) + M5</f>
        <v>30.980821917808218</v>
      </c>
    </row>
    <row r="44" spans="2:13" ht="41" customHeight="1">
      <c r="H44" s="718" t="s">
        <v>828</v>
      </c>
      <c r="I44" s="718"/>
      <c r="J44" s="718" t="s">
        <v>829</v>
      </c>
      <c r="K44" s="718" t="s">
        <v>830</v>
      </c>
      <c r="M44" s="719" t="s">
        <v>831</v>
      </c>
    </row>
  </sheetData>
  <conditionalFormatting sqref="H4:H42">
    <cfRule type="top10" dxfId="10" priority="3" rank="10"/>
  </conditionalFormatting>
  <conditionalFormatting sqref="K4:K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"/>
  <sheetViews>
    <sheetView showGridLines="0" workbookViewId="0">
      <selection activeCell="Q30" sqref="Q30"/>
    </sheetView>
  </sheetViews>
  <sheetFormatPr baseColWidth="10" defaultColWidth="11.5" defaultRowHeight="13"/>
  <cols>
    <col min="1" max="1" width="2.83203125" customWidth="1"/>
  </cols>
  <sheetData>
    <row r="3" spans="2:2" ht="20" customHeight="1">
      <c r="B3" s="355" t="s">
        <v>832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H222"/>
  <sheetViews>
    <sheetView showGridLines="0" topLeftCell="A3" workbookViewId="0">
      <selection activeCell="F7" sqref="F7"/>
    </sheetView>
  </sheetViews>
  <sheetFormatPr baseColWidth="10" defaultColWidth="9.1640625" defaultRowHeight="13"/>
  <cols>
    <col min="2" max="2" width="6.5" customWidth="1"/>
    <col min="3" max="3" width="13.83203125" customWidth="1"/>
    <col min="4" max="5" width="14.6640625" bestFit="1" customWidth="1"/>
    <col min="6" max="6" width="14.1640625" bestFit="1" customWidth="1"/>
    <col min="7" max="7" width="15.33203125" customWidth="1"/>
  </cols>
  <sheetData>
    <row r="3" spans="2:6" ht="23" customHeight="1">
      <c r="B3" s="276" t="s">
        <v>833</v>
      </c>
    </row>
    <row r="4" spans="2:6">
      <c r="B4" s="74"/>
    </row>
    <row r="5" spans="2:6" ht="45" customHeight="1">
      <c r="B5" s="282" t="s">
        <v>834</v>
      </c>
    </row>
    <row r="6" spans="2:6">
      <c r="B6" s="277"/>
    </row>
    <row r="7" spans="2:6" ht="19" customHeight="1">
      <c r="B7" s="970" t="s">
        <v>162</v>
      </c>
      <c r="C7" s="826" t="s">
        <v>160</v>
      </c>
      <c r="D7" s="827" t="s">
        <v>65</v>
      </c>
      <c r="E7" s="827" t="s">
        <v>67</v>
      </c>
      <c r="F7" s="827" t="s">
        <v>161</v>
      </c>
    </row>
    <row r="8" spans="2:6" ht="15" customHeight="1" thickTop="1">
      <c r="B8" s="283">
        <v>2010</v>
      </c>
      <c r="C8" s="284" t="s">
        <v>163</v>
      </c>
      <c r="D8" s="285">
        <v>4000</v>
      </c>
      <c r="E8" s="285">
        <v>2430</v>
      </c>
      <c r="F8" s="304">
        <f t="shared" ref="F8:F39" si="0">D8-E8</f>
        <v>1570</v>
      </c>
    </row>
    <row r="9" spans="2:6" ht="14" customHeight="1">
      <c r="B9" s="286">
        <v>2010</v>
      </c>
      <c r="C9" s="967" t="s">
        <v>164</v>
      </c>
      <c r="D9" s="287">
        <v>4000</v>
      </c>
      <c r="E9" s="287">
        <v>3555</v>
      </c>
      <c r="F9" s="305">
        <f t="shared" si="0"/>
        <v>445</v>
      </c>
    </row>
    <row r="10" spans="2:6" ht="14" customHeight="1">
      <c r="B10" s="286">
        <v>2010</v>
      </c>
      <c r="C10" s="967" t="s">
        <v>165</v>
      </c>
      <c r="D10" s="287">
        <v>4445</v>
      </c>
      <c r="E10" s="287">
        <v>4020</v>
      </c>
      <c r="F10" s="305">
        <f t="shared" si="0"/>
        <v>425</v>
      </c>
    </row>
    <row r="11" spans="2:6" ht="14" customHeight="1">
      <c r="B11" s="286">
        <v>2010</v>
      </c>
      <c r="C11" s="967" t="s">
        <v>166</v>
      </c>
      <c r="D11" s="287">
        <v>5110</v>
      </c>
      <c r="E11" s="287">
        <v>4123</v>
      </c>
      <c r="F11" s="305">
        <f t="shared" si="0"/>
        <v>987</v>
      </c>
    </row>
    <row r="12" spans="2:6" ht="14" customHeight="1">
      <c r="B12" s="286">
        <v>2010</v>
      </c>
      <c r="C12" s="967" t="s">
        <v>167</v>
      </c>
      <c r="D12" s="287">
        <v>4380</v>
      </c>
      <c r="E12" s="287">
        <v>1837</v>
      </c>
      <c r="F12" s="305">
        <f t="shared" si="0"/>
        <v>2543</v>
      </c>
    </row>
    <row r="13" spans="2:6" ht="14" customHeight="1">
      <c r="B13" s="286">
        <v>2010</v>
      </c>
      <c r="C13" s="967" t="s">
        <v>168</v>
      </c>
      <c r="D13" s="287">
        <v>4445</v>
      </c>
      <c r="E13" s="288">
        <v>7830</v>
      </c>
      <c r="F13" s="305">
        <f t="shared" si="0"/>
        <v>-3385</v>
      </c>
    </row>
    <row r="14" spans="2:6" ht="14" customHeight="1">
      <c r="B14" s="286">
        <v>2010</v>
      </c>
      <c r="C14" s="967" t="s">
        <v>169</v>
      </c>
      <c r="D14" s="287">
        <v>3555</v>
      </c>
      <c r="E14" s="287">
        <v>5600</v>
      </c>
      <c r="F14" s="305">
        <f t="shared" si="0"/>
        <v>-2045</v>
      </c>
    </row>
    <row r="15" spans="2:6" ht="14" customHeight="1">
      <c r="B15" s="286">
        <v>2010</v>
      </c>
      <c r="C15" s="967" t="s">
        <v>170</v>
      </c>
      <c r="D15" s="287">
        <v>1935</v>
      </c>
      <c r="E15" s="287">
        <v>2655</v>
      </c>
      <c r="F15" s="305">
        <f t="shared" si="0"/>
        <v>-720</v>
      </c>
    </row>
    <row r="16" spans="2:6" ht="14" customHeight="1">
      <c r="B16" s="286">
        <v>2010</v>
      </c>
      <c r="C16" s="967" t="s">
        <v>171</v>
      </c>
      <c r="D16" s="287">
        <v>2900</v>
      </c>
      <c r="E16" s="287">
        <v>2290</v>
      </c>
      <c r="F16" s="305">
        <f t="shared" si="0"/>
        <v>610</v>
      </c>
    </row>
    <row r="17" spans="2:7" ht="14" customHeight="1">
      <c r="B17" s="286">
        <v>2010</v>
      </c>
      <c r="C17" s="967" t="s">
        <v>172</v>
      </c>
      <c r="D17" s="287">
        <v>2250</v>
      </c>
      <c r="E17" s="287">
        <v>2055</v>
      </c>
      <c r="F17" s="305">
        <f t="shared" si="0"/>
        <v>195</v>
      </c>
    </row>
    <row r="18" spans="2:7" ht="14" customHeight="1">
      <c r="B18" s="286">
        <v>2010</v>
      </c>
      <c r="C18" s="967" t="s">
        <v>173</v>
      </c>
      <c r="D18" s="287">
        <v>2150</v>
      </c>
      <c r="E18" s="287">
        <v>2165</v>
      </c>
      <c r="F18" s="305">
        <f t="shared" si="0"/>
        <v>-15</v>
      </c>
    </row>
    <row r="19" spans="2:7" ht="14" customHeight="1">
      <c r="B19" s="289">
        <v>2010</v>
      </c>
      <c r="C19" s="290" t="s">
        <v>174</v>
      </c>
      <c r="D19" s="291">
        <v>2150</v>
      </c>
      <c r="E19" s="291">
        <v>2190</v>
      </c>
      <c r="F19" s="367">
        <f t="shared" si="0"/>
        <v>-40</v>
      </c>
      <c r="G19" s="279">
        <f>SUM(F8:F19)</f>
        <v>570</v>
      </c>
    </row>
    <row r="20" spans="2:7" ht="14" customHeight="1">
      <c r="B20" s="292">
        <v>2011</v>
      </c>
      <c r="C20" s="284" t="s">
        <v>163</v>
      </c>
      <c r="D20" s="285">
        <v>2800</v>
      </c>
      <c r="E20" s="285">
        <v>1910</v>
      </c>
      <c r="F20" s="306">
        <f t="shared" si="0"/>
        <v>890</v>
      </c>
    </row>
    <row r="21" spans="2:7" ht="14" customHeight="1">
      <c r="B21" s="293">
        <v>2011</v>
      </c>
      <c r="C21" s="967" t="s">
        <v>164</v>
      </c>
      <c r="D21" s="287">
        <v>0</v>
      </c>
      <c r="E21" s="287">
        <v>2325</v>
      </c>
      <c r="F21" s="305">
        <f t="shared" si="0"/>
        <v>-2325</v>
      </c>
    </row>
    <row r="22" spans="2:7" ht="14" customHeight="1">
      <c r="B22" s="293">
        <v>2011</v>
      </c>
      <c r="C22" s="967" t="s">
        <v>165</v>
      </c>
      <c r="D22" s="287">
        <v>0</v>
      </c>
      <c r="E22" s="287">
        <v>2075</v>
      </c>
      <c r="F22" s="305">
        <f t="shared" si="0"/>
        <v>-2075</v>
      </c>
    </row>
    <row r="23" spans="2:7" ht="14" customHeight="1">
      <c r="B23" s="293">
        <v>2011</v>
      </c>
      <c r="C23" s="967" t="s">
        <v>166</v>
      </c>
      <c r="D23" s="287">
        <v>0</v>
      </c>
      <c r="E23" s="287">
        <v>1630</v>
      </c>
      <c r="F23" s="305">
        <f t="shared" si="0"/>
        <v>-1630</v>
      </c>
    </row>
    <row r="24" spans="2:7" ht="14" customHeight="1">
      <c r="B24" s="293">
        <v>2011</v>
      </c>
      <c r="C24" s="967" t="s">
        <v>167</v>
      </c>
      <c r="D24" s="287">
        <v>1595</v>
      </c>
      <c r="E24" s="287">
        <v>1715</v>
      </c>
      <c r="F24" s="305">
        <f t="shared" si="0"/>
        <v>-120</v>
      </c>
    </row>
    <row r="25" spans="2:7" ht="14" customHeight="1">
      <c r="B25" s="293">
        <v>2011</v>
      </c>
      <c r="C25" s="967" t="s">
        <v>168</v>
      </c>
      <c r="D25" s="287">
        <v>2750</v>
      </c>
      <c r="E25" s="287">
        <v>3850</v>
      </c>
      <c r="F25" s="305">
        <f t="shared" si="0"/>
        <v>-1100</v>
      </c>
    </row>
    <row r="26" spans="2:7" ht="14" customHeight="1">
      <c r="B26" s="293">
        <v>2011</v>
      </c>
      <c r="C26" s="967" t="s">
        <v>169</v>
      </c>
      <c r="D26" s="287">
        <v>1790</v>
      </c>
      <c r="E26" s="287">
        <v>1845</v>
      </c>
      <c r="F26" s="305">
        <f t="shared" si="0"/>
        <v>-55</v>
      </c>
    </row>
    <row r="27" spans="2:7" ht="14" customHeight="1">
      <c r="B27" s="293">
        <v>2011</v>
      </c>
      <c r="C27" s="967" t="s">
        <v>170</v>
      </c>
      <c r="D27" s="287">
        <v>1800</v>
      </c>
      <c r="E27" s="287">
        <v>1630</v>
      </c>
      <c r="F27" s="305">
        <f t="shared" si="0"/>
        <v>170</v>
      </c>
    </row>
    <row r="28" spans="2:7" ht="14" customHeight="1">
      <c r="B28" s="293">
        <v>2011</v>
      </c>
      <c r="C28" s="967" t="s">
        <v>171</v>
      </c>
      <c r="D28" s="287">
        <v>1785</v>
      </c>
      <c r="E28" s="287">
        <v>2080</v>
      </c>
      <c r="F28" s="305">
        <f t="shared" si="0"/>
        <v>-295</v>
      </c>
    </row>
    <row r="29" spans="2:7" ht="14" customHeight="1">
      <c r="B29" s="293">
        <v>2011</v>
      </c>
      <c r="C29" s="967" t="s">
        <v>172</v>
      </c>
      <c r="D29" s="287">
        <v>1800</v>
      </c>
      <c r="E29" s="287">
        <v>1860</v>
      </c>
      <c r="F29" s="305">
        <f t="shared" si="0"/>
        <v>-60</v>
      </c>
    </row>
    <row r="30" spans="2:7" ht="14" customHeight="1">
      <c r="B30" s="293">
        <v>2011</v>
      </c>
      <c r="C30" s="967" t="s">
        <v>173</v>
      </c>
      <c r="D30" s="287">
        <v>1800</v>
      </c>
      <c r="E30" s="287">
        <v>2010</v>
      </c>
      <c r="F30" s="305">
        <f t="shared" si="0"/>
        <v>-210</v>
      </c>
    </row>
    <row r="31" spans="2:7" ht="14" customHeight="1">
      <c r="B31" s="294">
        <v>2011</v>
      </c>
      <c r="C31" s="290" t="s">
        <v>174</v>
      </c>
      <c r="D31" s="291">
        <v>3640</v>
      </c>
      <c r="E31" s="291">
        <v>3640</v>
      </c>
      <c r="F31" s="367">
        <f t="shared" si="0"/>
        <v>0</v>
      </c>
      <c r="G31" s="295">
        <f>SUM(F20:F31)</f>
        <v>-6810</v>
      </c>
    </row>
    <row r="32" spans="2:7" ht="14" customHeight="1">
      <c r="B32" s="283">
        <v>2012</v>
      </c>
      <c r="C32" s="284" t="s">
        <v>163</v>
      </c>
      <c r="D32" s="285">
        <v>1810</v>
      </c>
      <c r="E32" s="285">
        <v>1875</v>
      </c>
      <c r="F32" s="306">
        <f t="shared" si="0"/>
        <v>-65</v>
      </c>
    </row>
    <row r="33" spans="2:7" ht="14" customHeight="1">
      <c r="B33" s="286">
        <v>2012</v>
      </c>
      <c r="C33" s="967" t="s">
        <v>164</v>
      </c>
      <c r="D33" s="287">
        <v>1730</v>
      </c>
      <c r="E33" s="287">
        <v>2690</v>
      </c>
      <c r="F33" s="305">
        <f t="shared" si="0"/>
        <v>-960</v>
      </c>
    </row>
    <row r="34" spans="2:7" ht="14" customHeight="1">
      <c r="B34" s="286">
        <v>2012</v>
      </c>
      <c r="C34" s="967" t="s">
        <v>165</v>
      </c>
      <c r="D34" s="287">
        <v>1720</v>
      </c>
      <c r="E34" s="288">
        <v>6415</v>
      </c>
      <c r="F34" s="305">
        <f t="shared" si="0"/>
        <v>-4695</v>
      </c>
    </row>
    <row r="35" spans="2:7" ht="14" customHeight="1">
      <c r="B35" s="286">
        <v>2012</v>
      </c>
      <c r="C35" s="967" t="s">
        <v>166</v>
      </c>
      <c r="D35" s="287">
        <v>1695</v>
      </c>
      <c r="E35" s="287">
        <v>1550</v>
      </c>
      <c r="F35" s="305">
        <f t="shared" si="0"/>
        <v>145</v>
      </c>
    </row>
    <row r="36" spans="2:7" ht="14" customHeight="1">
      <c r="B36" s="286">
        <v>2012</v>
      </c>
      <c r="C36" s="967" t="s">
        <v>167</v>
      </c>
      <c r="D36" s="287">
        <v>4025</v>
      </c>
      <c r="E36" s="287">
        <v>3575</v>
      </c>
      <c r="F36" s="305">
        <f t="shared" si="0"/>
        <v>450</v>
      </c>
    </row>
    <row r="37" spans="2:7" ht="14" customHeight="1">
      <c r="B37" s="286">
        <v>2012</v>
      </c>
      <c r="C37" s="967" t="s">
        <v>168</v>
      </c>
      <c r="D37" s="287">
        <v>3480</v>
      </c>
      <c r="E37" s="287">
        <v>1840</v>
      </c>
      <c r="F37" s="305">
        <f t="shared" si="0"/>
        <v>1640</v>
      </c>
    </row>
    <row r="38" spans="2:7" ht="14" customHeight="1">
      <c r="B38" s="286">
        <v>2012</v>
      </c>
      <c r="C38" s="967" t="s">
        <v>169</v>
      </c>
      <c r="D38" s="287">
        <v>1720</v>
      </c>
      <c r="E38" s="287">
        <v>1920</v>
      </c>
      <c r="F38" s="305">
        <f t="shared" si="0"/>
        <v>-200</v>
      </c>
    </row>
    <row r="39" spans="2:7" ht="14" customHeight="1">
      <c r="B39" s="286">
        <v>2012</v>
      </c>
      <c r="C39" s="967" t="s">
        <v>170</v>
      </c>
      <c r="D39" s="287">
        <v>1725</v>
      </c>
      <c r="E39" s="287">
        <v>2725</v>
      </c>
      <c r="F39" s="305">
        <f t="shared" si="0"/>
        <v>-1000</v>
      </c>
    </row>
    <row r="40" spans="2:7" ht="14" customHeight="1">
      <c r="B40" s="286">
        <v>2012</v>
      </c>
      <c r="C40" s="967" t="s">
        <v>171</v>
      </c>
      <c r="D40" s="287">
        <v>1700</v>
      </c>
      <c r="E40" s="287">
        <v>2070</v>
      </c>
      <c r="F40" s="305">
        <f t="shared" ref="F40:F71" si="1">D40-E40</f>
        <v>-370</v>
      </c>
    </row>
    <row r="41" spans="2:7" ht="14" customHeight="1">
      <c r="B41" s="286">
        <v>2012</v>
      </c>
      <c r="C41" s="967" t="s">
        <v>172</v>
      </c>
      <c r="D41" s="287">
        <v>1685</v>
      </c>
      <c r="E41" s="287">
        <v>1515</v>
      </c>
      <c r="F41" s="305">
        <f t="shared" si="1"/>
        <v>170</v>
      </c>
    </row>
    <row r="42" spans="2:7" ht="14" customHeight="1">
      <c r="B42" s="286">
        <v>2012</v>
      </c>
      <c r="C42" s="967" t="s">
        <v>173</v>
      </c>
      <c r="D42" s="287">
        <v>1700</v>
      </c>
      <c r="E42" s="287">
        <v>1700</v>
      </c>
      <c r="F42" s="305">
        <f t="shared" si="1"/>
        <v>0</v>
      </c>
    </row>
    <row r="43" spans="2:7" ht="14" customHeight="1">
      <c r="B43" s="289">
        <v>2012</v>
      </c>
      <c r="C43" s="290" t="s">
        <v>174</v>
      </c>
      <c r="D43" s="291">
        <v>3460</v>
      </c>
      <c r="E43" s="291">
        <v>2365</v>
      </c>
      <c r="F43" s="367">
        <f t="shared" si="1"/>
        <v>1095</v>
      </c>
      <c r="G43" s="295">
        <f>SUM(F32:F43)</f>
        <v>-3790</v>
      </c>
    </row>
    <row r="44" spans="2:7" ht="14" customHeight="1">
      <c r="B44" s="292">
        <v>2013</v>
      </c>
      <c r="C44" s="284" t="s">
        <v>163</v>
      </c>
      <c r="D44" s="285">
        <v>1685</v>
      </c>
      <c r="E44" s="285">
        <v>1450</v>
      </c>
      <c r="F44" s="306">
        <f t="shared" si="1"/>
        <v>235</v>
      </c>
    </row>
    <row r="45" spans="2:7" ht="14" customHeight="1">
      <c r="B45" s="293">
        <v>2013</v>
      </c>
      <c r="C45" s="967" t="s">
        <v>164</v>
      </c>
      <c r="D45" s="287">
        <v>1720</v>
      </c>
      <c r="E45" s="288">
        <v>11000</v>
      </c>
      <c r="F45" s="305">
        <f t="shared" si="1"/>
        <v>-9280</v>
      </c>
    </row>
    <row r="46" spans="2:7" ht="14" customHeight="1">
      <c r="B46" s="293">
        <v>2013</v>
      </c>
      <c r="C46" s="967" t="s">
        <v>165</v>
      </c>
      <c r="D46" s="287">
        <v>1700</v>
      </c>
      <c r="E46" s="287">
        <v>1840</v>
      </c>
      <c r="F46" s="305">
        <f t="shared" si="1"/>
        <v>-140</v>
      </c>
    </row>
    <row r="47" spans="2:7" ht="14" customHeight="1">
      <c r="B47" s="293">
        <v>2013</v>
      </c>
      <c r="C47" s="967" t="s">
        <v>166</v>
      </c>
      <c r="D47" s="287">
        <v>1700</v>
      </c>
      <c r="E47" s="287">
        <v>1595</v>
      </c>
      <c r="F47" s="305">
        <f t="shared" si="1"/>
        <v>105</v>
      </c>
    </row>
    <row r="48" spans="2:7" ht="14" customHeight="1">
      <c r="B48" s="293">
        <v>2013</v>
      </c>
      <c r="C48" s="967" t="s">
        <v>167</v>
      </c>
      <c r="D48" s="287">
        <v>1725</v>
      </c>
      <c r="E48" s="287">
        <v>1640</v>
      </c>
      <c r="F48" s="305">
        <f t="shared" si="1"/>
        <v>85</v>
      </c>
    </row>
    <row r="49" spans="2:7" ht="14" customHeight="1">
      <c r="B49" s="293">
        <v>2013</v>
      </c>
      <c r="C49" s="967" t="s">
        <v>168</v>
      </c>
      <c r="D49" s="287">
        <v>3550</v>
      </c>
      <c r="E49" s="287">
        <v>1480</v>
      </c>
      <c r="F49" s="305">
        <f t="shared" si="1"/>
        <v>2070</v>
      </c>
    </row>
    <row r="50" spans="2:7" ht="14" customHeight="1">
      <c r="B50" s="293">
        <v>2013</v>
      </c>
      <c r="C50" s="967" t="s">
        <v>169</v>
      </c>
      <c r="D50" s="287">
        <v>1745</v>
      </c>
      <c r="E50" s="287">
        <v>2035</v>
      </c>
      <c r="F50" s="305">
        <f t="shared" si="1"/>
        <v>-290</v>
      </c>
    </row>
    <row r="51" spans="2:7" ht="14" customHeight="1">
      <c r="B51" s="293">
        <v>2013</v>
      </c>
      <c r="C51" s="967" t="s">
        <v>170</v>
      </c>
      <c r="D51" s="287">
        <v>1750</v>
      </c>
      <c r="E51" s="287">
        <v>1750</v>
      </c>
      <c r="F51" s="305">
        <f t="shared" si="1"/>
        <v>0</v>
      </c>
    </row>
    <row r="52" spans="2:7" ht="14" customHeight="1">
      <c r="B52" s="293">
        <v>2013</v>
      </c>
      <c r="C52" s="967" t="s">
        <v>171</v>
      </c>
      <c r="D52" s="287">
        <v>1825</v>
      </c>
      <c r="E52" s="287">
        <v>1760</v>
      </c>
      <c r="F52" s="305">
        <f t="shared" si="1"/>
        <v>65</v>
      </c>
    </row>
    <row r="53" spans="2:7" ht="14" customHeight="1">
      <c r="B53" s="293">
        <v>2013</v>
      </c>
      <c r="C53" s="967" t="s">
        <v>172</v>
      </c>
      <c r="D53" s="287">
        <v>1725</v>
      </c>
      <c r="E53" s="287">
        <v>1700</v>
      </c>
      <c r="F53" s="305">
        <f t="shared" si="1"/>
        <v>25</v>
      </c>
    </row>
    <row r="54" spans="2:7" ht="14" customHeight="1">
      <c r="B54" s="293">
        <v>2013</v>
      </c>
      <c r="C54" s="967" t="s">
        <v>173</v>
      </c>
      <c r="D54" s="287">
        <v>4100</v>
      </c>
      <c r="E54" s="287">
        <v>1770</v>
      </c>
      <c r="F54" s="305">
        <f t="shared" si="1"/>
        <v>2330</v>
      </c>
    </row>
    <row r="55" spans="2:7" ht="14" customHeight="1">
      <c r="B55" s="294">
        <v>2013</v>
      </c>
      <c r="C55" s="290" t="s">
        <v>174</v>
      </c>
      <c r="D55" s="291">
        <v>2650</v>
      </c>
      <c r="E55" s="291">
        <v>2115</v>
      </c>
      <c r="F55" s="367">
        <f t="shared" si="1"/>
        <v>535</v>
      </c>
      <c r="G55" s="295">
        <f>SUM(F44:F55)</f>
        <v>-4260</v>
      </c>
    </row>
    <row r="56" spans="2:7" ht="14" customHeight="1">
      <c r="B56" s="283">
        <v>2014</v>
      </c>
      <c r="C56" s="284" t="s">
        <v>163</v>
      </c>
      <c r="D56" s="285">
        <v>2725</v>
      </c>
      <c r="E56" s="285">
        <v>1450</v>
      </c>
      <c r="F56" s="306">
        <f t="shared" si="1"/>
        <v>1275</v>
      </c>
    </row>
    <row r="57" spans="2:7" ht="14" customHeight="1">
      <c r="B57" s="286">
        <v>2014</v>
      </c>
      <c r="C57" s="967" t="s">
        <v>164</v>
      </c>
      <c r="D57" s="287">
        <v>2175</v>
      </c>
      <c r="E57" s="287">
        <v>1445</v>
      </c>
      <c r="F57" s="305">
        <f t="shared" si="1"/>
        <v>730</v>
      </c>
    </row>
    <row r="58" spans="2:7" ht="14" customHeight="1">
      <c r="B58" s="286">
        <v>2014</v>
      </c>
      <c r="C58" s="967" t="s">
        <v>165</v>
      </c>
      <c r="D58" s="287">
        <v>2275</v>
      </c>
      <c r="E58" s="287">
        <v>3845</v>
      </c>
      <c r="F58" s="305">
        <f t="shared" si="1"/>
        <v>-1570</v>
      </c>
    </row>
    <row r="59" spans="2:7" ht="14" customHeight="1">
      <c r="B59" s="286">
        <v>2014</v>
      </c>
      <c r="C59" s="967" t="s">
        <v>166</v>
      </c>
      <c r="D59" s="287">
        <v>2275</v>
      </c>
      <c r="E59" s="287">
        <v>1515</v>
      </c>
      <c r="F59" s="305">
        <f t="shared" si="1"/>
        <v>760</v>
      </c>
    </row>
    <row r="60" spans="2:7" ht="14" customHeight="1">
      <c r="B60" s="286">
        <v>2014</v>
      </c>
      <c r="C60" s="967" t="s">
        <v>167</v>
      </c>
      <c r="D60" s="287">
        <v>2275</v>
      </c>
      <c r="E60" s="287">
        <v>1800</v>
      </c>
      <c r="F60" s="305">
        <f t="shared" si="1"/>
        <v>475</v>
      </c>
    </row>
    <row r="61" spans="2:7" ht="14" customHeight="1">
      <c r="B61" s="286">
        <v>2014</v>
      </c>
      <c r="C61" s="967" t="s">
        <v>168</v>
      </c>
      <c r="D61" s="287">
        <v>2060</v>
      </c>
      <c r="E61" s="287">
        <v>2335</v>
      </c>
      <c r="F61" s="305">
        <f t="shared" si="1"/>
        <v>-275</v>
      </c>
    </row>
    <row r="62" spans="2:7" ht="14" customHeight="1">
      <c r="B62" s="286">
        <v>2014</v>
      </c>
      <c r="C62" s="967" t="s">
        <v>169</v>
      </c>
      <c r="D62" s="287">
        <v>2060</v>
      </c>
      <c r="E62" s="287">
        <v>3280</v>
      </c>
      <c r="F62" s="305">
        <f t="shared" si="1"/>
        <v>-1220</v>
      </c>
    </row>
    <row r="63" spans="2:7" ht="14" customHeight="1">
      <c r="B63" s="286">
        <v>2014</v>
      </c>
      <c r="C63" s="967" t="s">
        <v>170</v>
      </c>
      <c r="D63" s="287">
        <v>2125</v>
      </c>
      <c r="E63" s="287">
        <v>2055</v>
      </c>
      <c r="F63" s="305">
        <f t="shared" si="1"/>
        <v>70</v>
      </c>
    </row>
    <row r="64" spans="2:7" ht="14" customHeight="1">
      <c r="B64" s="286">
        <v>2014</v>
      </c>
      <c r="C64" s="967" t="s">
        <v>171</v>
      </c>
      <c r="D64" s="287">
        <v>2130</v>
      </c>
      <c r="E64" s="287">
        <v>2040</v>
      </c>
      <c r="F64" s="305">
        <f t="shared" si="1"/>
        <v>90</v>
      </c>
    </row>
    <row r="65" spans="2:7" ht="14" customHeight="1">
      <c r="B65" s="286">
        <v>2014</v>
      </c>
      <c r="C65" s="967" t="s">
        <v>172</v>
      </c>
      <c r="D65" s="287">
        <v>1995</v>
      </c>
      <c r="E65" s="287">
        <v>1610</v>
      </c>
      <c r="F65" s="305">
        <f t="shared" si="1"/>
        <v>385</v>
      </c>
    </row>
    <row r="66" spans="2:7" ht="14" customHeight="1">
      <c r="B66" s="286">
        <v>2014</v>
      </c>
      <c r="C66" s="967" t="s">
        <v>173</v>
      </c>
      <c r="D66" s="287">
        <v>2080</v>
      </c>
      <c r="E66" s="288">
        <v>8715</v>
      </c>
      <c r="F66" s="305">
        <f t="shared" si="1"/>
        <v>-6635</v>
      </c>
    </row>
    <row r="67" spans="2:7" ht="14" customHeight="1">
      <c r="B67" s="289">
        <v>2014</v>
      </c>
      <c r="C67" s="290" t="s">
        <v>174</v>
      </c>
      <c r="D67" s="291">
        <v>3690</v>
      </c>
      <c r="E67" s="291">
        <v>3000</v>
      </c>
      <c r="F67" s="367">
        <f t="shared" si="1"/>
        <v>690</v>
      </c>
      <c r="G67" s="295">
        <f>SUM(F56:F67)</f>
        <v>-5225</v>
      </c>
    </row>
    <row r="68" spans="2:7" ht="14" customHeight="1">
      <c r="B68" s="292">
        <v>2015</v>
      </c>
      <c r="C68" s="284" t="s">
        <v>163</v>
      </c>
      <c r="D68" s="285">
        <v>2265</v>
      </c>
      <c r="E68" s="285">
        <v>1385</v>
      </c>
      <c r="F68" s="306">
        <f t="shared" si="1"/>
        <v>880</v>
      </c>
    </row>
    <row r="69" spans="2:7" ht="14" customHeight="1">
      <c r="B69" s="293">
        <v>2015</v>
      </c>
      <c r="C69" s="967" t="s">
        <v>164</v>
      </c>
      <c r="D69" s="287">
        <v>2250</v>
      </c>
      <c r="E69" s="287">
        <v>2360</v>
      </c>
      <c r="F69" s="305">
        <f t="shared" si="1"/>
        <v>-110</v>
      </c>
    </row>
    <row r="70" spans="2:7" ht="14" customHeight="1">
      <c r="B70" s="293">
        <v>2015</v>
      </c>
      <c r="C70" s="967" t="s">
        <v>165</v>
      </c>
      <c r="D70" s="287">
        <v>2245</v>
      </c>
      <c r="E70" s="287">
        <v>1570</v>
      </c>
      <c r="F70" s="305">
        <f t="shared" si="1"/>
        <v>675</v>
      </c>
    </row>
    <row r="71" spans="2:7" ht="14" customHeight="1">
      <c r="B71" s="293">
        <v>2015</v>
      </c>
      <c r="C71" s="967" t="s">
        <v>166</v>
      </c>
      <c r="D71" s="287">
        <v>2245</v>
      </c>
      <c r="E71" s="287">
        <v>2070</v>
      </c>
      <c r="F71" s="305">
        <f t="shared" si="1"/>
        <v>175</v>
      </c>
    </row>
    <row r="72" spans="2:7" ht="14" customHeight="1">
      <c r="B72" s="293">
        <v>2015</v>
      </c>
      <c r="C72" s="967" t="s">
        <v>167</v>
      </c>
      <c r="D72" s="287">
        <v>2340</v>
      </c>
      <c r="E72" s="287">
        <v>1590</v>
      </c>
      <c r="F72" s="305">
        <f t="shared" ref="F72:F103" si="2">D72-E72</f>
        <v>750</v>
      </c>
    </row>
    <row r="73" spans="2:7" ht="14" customHeight="1">
      <c r="B73" s="293">
        <v>2015</v>
      </c>
      <c r="C73" s="967" t="s">
        <v>168</v>
      </c>
      <c r="D73" s="287">
        <v>2330</v>
      </c>
      <c r="E73" s="287">
        <v>2180</v>
      </c>
      <c r="F73" s="305">
        <f t="shared" si="2"/>
        <v>150</v>
      </c>
    </row>
    <row r="74" spans="2:7" ht="14" customHeight="1">
      <c r="B74" s="293">
        <v>2015</v>
      </c>
      <c r="C74" s="967" t="s">
        <v>169</v>
      </c>
      <c r="D74" s="287">
        <v>2335</v>
      </c>
      <c r="E74" s="287">
        <v>1910</v>
      </c>
      <c r="F74" s="305">
        <f t="shared" si="2"/>
        <v>425</v>
      </c>
    </row>
    <row r="75" spans="2:7" ht="14" customHeight="1">
      <c r="B75" s="293">
        <v>2015</v>
      </c>
      <c r="C75" s="967" t="s">
        <v>170</v>
      </c>
      <c r="D75" s="287">
        <v>2615</v>
      </c>
      <c r="E75" s="287">
        <v>2565</v>
      </c>
      <c r="F75" s="305">
        <f t="shared" si="2"/>
        <v>50</v>
      </c>
    </row>
    <row r="76" spans="2:7" ht="14" customHeight="1">
      <c r="B76" s="293">
        <v>2015</v>
      </c>
      <c r="C76" s="967" t="s">
        <v>171</v>
      </c>
      <c r="D76" s="287">
        <v>3350</v>
      </c>
      <c r="E76" s="287">
        <v>1985</v>
      </c>
      <c r="F76" s="305">
        <f t="shared" si="2"/>
        <v>1365</v>
      </c>
    </row>
    <row r="77" spans="2:7" ht="14" customHeight="1">
      <c r="B77" s="293">
        <v>2015</v>
      </c>
      <c r="C77" s="967" t="s">
        <v>172</v>
      </c>
      <c r="D77" s="287">
        <v>2585</v>
      </c>
      <c r="E77" s="287">
        <v>1740</v>
      </c>
      <c r="F77" s="305">
        <f t="shared" si="2"/>
        <v>845</v>
      </c>
    </row>
    <row r="78" spans="2:7" ht="14" customHeight="1">
      <c r="B78" s="293">
        <v>2015</v>
      </c>
      <c r="C78" s="967" t="s">
        <v>173</v>
      </c>
      <c r="D78" s="287">
        <v>1960</v>
      </c>
      <c r="E78" s="287">
        <v>2305</v>
      </c>
      <c r="F78" s="305">
        <f t="shared" si="2"/>
        <v>-345</v>
      </c>
    </row>
    <row r="79" spans="2:7" ht="14" customHeight="1">
      <c r="B79" s="294">
        <v>2015</v>
      </c>
      <c r="C79" s="290" t="s">
        <v>174</v>
      </c>
      <c r="D79" s="291">
        <v>2515</v>
      </c>
      <c r="E79" s="291">
        <v>2515</v>
      </c>
      <c r="F79" s="367">
        <f t="shared" si="2"/>
        <v>0</v>
      </c>
      <c r="G79" s="279">
        <f>SUM(F68:F79)</f>
        <v>4860</v>
      </c>
    </row>
    <row r="80" spans="2:7" ht="14" customHeight="1">
      <c r="B80" s="283">
        <v>2016</v>
      </c>
      <c r="C80" s="284" t="s">
        <v>163</v>
      </c>
      <c r="D80" s="285">
        <v>1950</v>
      </c>
      <c r="E80" s="285">
        <v>1820</v>
      </c>
      <c r="F80" s="306">
        <f t="shared" si="2"/>
        <v>130</v>
      </c>
    </row>
    <row r="81" spans="2:7" ht="14" customHeight="1">
      <c r="B81" s="286">
        <v>2016</v>
      </c>
      <c r="C81" s="967" t="s">
        <v>164</v>
      </c>
      <c r="D81" s="287">
        <v>1865</v>
      </c>
      <c r="E81" s="287">
        <v>2095</v>
      </c>
      <c r="F81" s="305">
        <f t="shared" si="2"/>
        <v>-230</v>
      </c>
    </row>
    <row r="82" spans="2:7" ht="14" customHeight="1">
      <c r="B82" s="286">
        <v>2016</v>
      </c>
      <c r="C82" s="967" t="s">
        <v>165</v>
      </c>
      <c r="D82" s="287">
        <v>1865</v>
      </c>
      <c r="E82" s="287">
        <v>1640</v>
      </c>
      <c r="F82" s="305">
        <f t="shared" si="2"/>
        <v>225</v>
      </c>
    </row>
    <row r="83" spans="2:7" ht="14" customHeight="1">
      <c r="B83" s="286">
        <v>2016</v>
      </c>
      <c r="C83" s="967" t="s">
        <v>166</v>
      </c>
      <c r="D83" s="287">
        <v>2625</v>
      </c>
      <c r="E83" s="287">
        <v>4000</v>
      </c>
      <c r="F83" s="305">
        <f t="shared" si="2"/>
        <v>-1375</v>
      </c>
    </row>
    <row r="84" spans="2:7" ht="14" customHeight="1">
      <c r="B84" s="286">
        <v>2016</v>
      </c>
      <c r="C84" s="967" t="s">
        <v>167</v>
      </c>
      <c r="D84" s="287">
        <v>1900</v>
      </c>
      <c r="E84" s="287">
        <v>1750</v>
      </c>
      <c r="F84" s="305">
        <f t="shared" si="2"/>
        <v>150</v>
      </c>
    </row>
    <row r="85" spans="2:7" ht="14" customHeight="1">
      <c r="B85" s="286">
        <v>2016</v>
      </c>
      <c r="C85" s="967" t="s">
        <v>168</v>
      </c>
      <c r="D85" s="287">
        <v>2745</v>
      </c>
      <c r="E85" s="288">
        <v>12215</v>
      </c>
      <c r="F85" s="305">
        <f t="shared" si="2"/>
        <v>-9470</v>
      </c>
    </row>
    <row r="86" spans="2:7" ht="14" customHeight="1">
      <c r="B86" s="286">
        <v>2016</v>
      </c>
      <c r="C86" s="967" t="s">
        <v>169</v>
      </c>
      <c r="D86" s="287">
        <v>3885</v>
      </c>
      <c r="E86" s="287">
        <v>1720</v>
      </c>
      <c r="F86" s="305">
        <f t="shared" si="2"/>
        <v>2165</v>
      </c>
    </row>
    <row r="87" spans="2:7" ht="14" customHeight="1">
      <c r="B87" s="286">
        <v>2016</v>
      </c>
      <c r="C87" s="967" t="s">
        <v>170</v>
      </c>
      <c r="D87" s="287">
        <v>2300</v>
      </c>
      <c r="E87" s="287">
        <v>2300</v>
      </c>
      <c r="F87" s="305">
        <f t="shared" si="2"/>
        <v>0</v>
      </c>
    </row>
    <row r="88" spans="2:7" ht="14" customHeight="1">
      <c r="B88" s="286">
        <v>2016</v>
      </c>
      <c r="C88" s="967" t="s">
        <v>171</v>
      </c>
      <c r="D88" s="287">
        <v>2115</v>
      </c>
      <c r="E88" s="287">
        <v>1630</v>
      </c>
      <c r="F88" s="305">
        <f t="shared" si="2"/>
        <v>485</v>
      </c>
    </row>
    <row r="89" spans="2:7" ht="14" customHeight="1">
      <c r="B89" s="286">
        <v>2016</v>
      </c>
      <c r="C89" s="967" t="s">
        <v>172</v>
      </c>
      <c r="D89" s="287">
        <v>4330</v>
      </c>
      <c r="E89" s="287">
        <v>2000</v>
      </c>
      <c r="F89" s="305">
        <f t="shared" si="2"/>
        <v>2330</v>
      </c>
    </row>
    <row r="90" spans="2:7" ht="14" customHeight="1">
      <c r="B90" s="286">
        <v>2016</v>
      </c>
      <c r="C90" s="967" t="s">
        <v>173</v>
      </c>
      <c r="D90" s="287">
        <v>1935</v>
      </c>
      <c r="E90" s="287">
        <v>1865</v>
      </c>
      <c r="F90" s="305">
        <f t="shared" si="2"/>
        <v>70</v>
      </c>
    </row>
    <row r="91" spans="2:7" ht="14" customHeight="1">
      <c r="B91" s="289">
        <v>2016</v>
      </c>
      <c r="C91" s="290" t="s">
        <v>174</v>
      </c>
      <c r="D91" s="291">
        <v>4080</v>
      </c>
      <c r="E91" s="291">
        <v>2980</v>
      </c>
      <c r="F91" s="367">
        <f t="shared" si="2"/>
        <v>1100</v>
      </c>
      <c r="G91" s="295">
        <f>SUM(F80:F91)</f>
        <v>-4420</v>
      </c>
    </row>
    <row r="92" spans="2:7" ht="14" customHeight="1">
      <c r="B92" s="292">
        <v>2017</v>
      </c>
      <c r="C92" s="284" t="s">
        <v>163</v>
      </c>
      <c r="D92" s="285">
        <v>5875</v>
      </c>
      <c r="E92" s="285">
        <v>1745</v>
      </c>
      <c r="F92" s="306">
        <f t="shared" si="2"/>
        <v>4130</v>
      </c>
    </row>
    <row r="93" spans="2:7" ht="14" customHeight="1">
      <c r="B93" s="293">
        <v>2017</v>
      </c>
      <c r="C93" s="967" t="s">
        <v>164</v>
      </c>
      <c r="D93" s="287">
        <v>1905</v>
      </c>
      <c r="E93" s="287">
        <v>1835</v>
      </c>
      <c r="F93" s="305">
        <f t="shared" si="2"/>
        <v>70</v>
      </c>
    </row>
    <row r="94" spans="2:7" ht="14" customHeight="1">
      <c r="B94" s="293">
        <v>2017</v>
      </c>
      <c r="C94" s="967" t="s">
        <v>165</v>
      </c>
      <c r="D94" s="287">
        <v>1915</v>
      </c>
      <c r="E94" s="287">
        <v>1800</v>
      </c>
      <c r="F94" s="305">
        <f t="shared" si="2"/>
        <v>115</v>
      </c>
    </row>
    <row r="95" spans="2:7" ht="14" customHeight="1">
      <c r="B95" s="293">
        <v>2017</v>
      </c>
      <c r="C95" s="967" t="s">
        <v>166</v>
      </c>
      <c r="D95" s="287">
        <v>3065</v>
      </c>
      <c r="E95" s="287">
        <v>2495</v>
      </c>
      <c r="F95" s="305">
        <f t="shared" si="2"/>
        <v>570</v>
      </c>
    </row>
    <row r="96" spans="2:7" ht="14" customHeight="1">
      <c r="B96" s="293">
        <v>2017</v>
      </c>
      <c r="C96" s="967" t="s">
        <v>167</v>
      </c>
      <c r="D96" s="287">
        <v>1940</v>
      </c>
      <c r="E96" s="287">
        <v>3665</v>
      </c>
      <c r="F96" s="305">
        <f t="shared" si="2"/>
        <v>-1725</v>
      </c>
    </row>
    <row r="97" spans="2:7" ht="14" customHeight="1">
      <c r="B97" s="293">
        <v>2017</v>
      </c>
      <c r="C97" s="967" t="s">
        <v>168</v>
      </c>
      <c r="D97" s="287">
        <v>2075</v>
      </c>
      <c r="E97" s="287">
        <v>2175</v>
      </c>
      <c r="F97" s="305">
        <f t="shared" si="2"/>
        <v>-100</v>
      </c>
    </row>
    <row r="98" spans="2:7" ht="14" customHeight="1">
      <c r="B98" s="293">
        <v>2017</v>
      </c>
      <c r="C98" s="967" t="s">
        <v>169</v>
      </c>
      <c r="D98" s="287">
        <v>4145</v>
      </c>
      <c r="E98" s="287">
        <v>2275</v>
      </c>
      <c r="F98" s="305">
        <f t="shared" si="2"/>
        <v>1870</v>
      </c>
    </row>
    <row r="99" spans="2:7" ht="14" customHeight="1">
      <c r="B99" s="293">
        <v>2017</v>
      </c>
      <c r="C99" s="967" t="s">
        <v>170</v>
      </c>
      <c r="D99" s="287">
        <v>1900</v>
      </c>
      <c r="E99" s="287">
        <v>2100</v>
      </c>
      <c r="F99" s="305">
        <f t="shared" si="2"/>
        <v>-200</v>
      </c>
    </row>
    <row r="100" spans="2:7" ht="14" customHeight="1">
      <c r="B100" s="293">
        <v>2017</v>
      </c>
      <c r="C100" s="967" t="s">
        <v>171</v>
      </c>
      <c r="D100" s="287">
        <v>2090</v>
      </c>
      <c r="E100" s="287">
        <v>1980</v>
      </c>
      <c r="F100" s="305">
        <f t="shared" si="2"/>
        <v>110</v>
      </c>
    </row>
    <row r="101" spans="2:7" ht="14" customHeight="1">
      <c r="B101" s="293">
        <v>2017</v>
      </c>
      <c r="C101" s="967" t="s">
        <v>172</v>
      </c>
      <c r="D101" s="287">
        <v>4115</v>
      </c>
      <c r="E101" s="287">
        <v>2105</v>
      </c>
      <c r="F101" s="305">
        <f t="shared" si="2"/>
        <v>2010</v>
      </c>
    </row>
    <row r="102" spans="2:7" ht="14" customHeight="1">
      <c r="B102" s="293">
        <v>2017</v>
      </c>
      <c r="C102" s="967" t="s">
        <v>173</v>
      </c>
      <c r="D102" s="287">
        <v>1925</v>
      </c>
      <c r="E102" s="287">
        <v>2325</v>
      </c>
      <c r="F102" s="305">
        <f t="shared" si="2"/>
        <v>-400</v>
      </c>
    </row>
    <row r="103" spans="2:7" ht="14" customHeight="1">
      <c r="B103" s="294">
        <v>2017</v>
      </c>
      <c r="C103" s="290" t="s">
        <v>174</v>
      </c>
      <c r="D103" s="291">
        <v>4115</v>
      </c>
      <c r="E103" s="291">
        <v>3115</v>
      </c>
      <c r="F103" s="367">
        <f t="shared" si="2"/>
        <v>1000</v>
      </c>
      <c r="G103" s="279">
        <f>SUM(F92:F103)</f>
        <v>7450</v>
      </c>
    </row>
    <row r="104" spans="2:7" ht="14" customHeight="1">
      <c r="B104" s="283">
        <v>2018</v>
      </c>
      <c r="C104" s="284" t="s">
        <v>163</v>
      </c>
      <c r="D104" s="285">
        <v>1925</v>
      </c>
      <c r="E104" s="285">
        <v>1925</v>
      </c>
      <c r="F104" s="306">
        <f t="shared" ref="F104:F135" si="3">D104-E104</f>
        <v>0</v>
      </c>
    </row>
    <row r="105" spans="2:7" ht="14" customHeight="1">
      <c r="B105" s="286">
        <v>2018</v>
      </c>
      <c r="C105" s="967" t="s">
        <v>164</v>
      </c>
      <c r="D105" s="287">
        <v>1825</v>
      </c>
      <c r="E105" s="287">
        <v>2335</v>
      </c>
      <c r="F105" s="305">
        <f t="shared" si="3"/>
        <v>-510</v>
      </c>
    </row>
    <row r="106" spans="2:7" ht="14" customHeight="1">
      <c r="B106" s="286">
        <v>2018</v>
      </c>
      <c r="C106" s="967" t="s">
        <v>165</v>
      </c>
      <c r="D106" s="287">
        <v>1945</v>
      </c>
      <c r="E106" s="287">
        <v>2335</v>
      </c>
      <c r="F106" s="305">
        <f t="shared" si="3"/>
        <v>-390</v>
      </c>
    </row>
    <row r="107" spans="2:7" ht="14" customHeight="1">
      <c r="B107" s="286">
        <v>2018</v>
      </c>
      <c r="C107" s="967" t="s">
        <v>166</v>
      </c>
      <c r="D107" s="287">
        <v>3160</v>
      </c>
      <c r="E107" s="287">
        <v>2755</v>
      </c>
      <c r="F107" s="305">
        <f t="shared" si="3"/>
        <v>405</v>
      </c>
    </row>
    <row r="108" spans="2:7" ht="14" customHeight="1">
      <c r="B108" s="286">
        <v>2018</v>
      </c>
      <c r="C108" s="967" t="s">
        <v>167</v>
      </c>
      <c r="D108" s="287">
        <v>1950</v>
      </c>
      <c r="E108" s="287">
        <v>2115</v>
      </c>
      <c r="F108" s="305">
        <f t="shared" si="3"/>
        <v>-165</v>
      </c>
    </row>
    <row r="109" spans="2:7" ht="14" customHeight="1">
      <c r="B109" s="286">
        <v>2018</v>
      </c>
      <c r="C109" s="967" t="s">
        <v>168</v>
      </c>
      <c r="D109" s="287">
        <v>2230</v>
      </c>
      <c r="E109" s="287">
        <v>4095</v>
      </c>
      <c r="F109" s="305">
        <f t="shared" si="3"/>
        <v>-1865</v>
      </c>
    </row>
    <row r="110" spans="2:7" ht="14" customHeight="1">
      <c r="B110" s="286">
        <v>2018</v>
      </c>
      <c r="C110" s="967" t="s">
        <v>169</v>
      </c>
      <c r="D110" s="287">
        <v>4200</v>
      </c>
      <c r="E110" s="287">
        <v>2180</v>
      </c>
      <c r="F110" s="305">
        <f t="shared" si="3"/>
        <v>2020</v>
      </c>
    </row>
    <row r="111" spans="2:7" ht="14" customHeight="1">
      <c r="B111" s="286">
        <v>2018</v>
      </c>
      <c r="C111" s="967" t="s">
        <v>170</v>
      </c>
      <c r="D111" s="287">
        <v>1950</v>
      </c>
      <c r="E111" s="287">
        <v>4555</v>
      </c>
      <c r="F111" s="305">
        <f t="shared" si="3"/>
        <v>-2605</v>
      </c>
    </row>
    <row r="112" spans="2:7" ht="14" customHeight="1">
      <c r="B112" s="286">
        <v>2018</v>
      </c>
      <c r="C112" s="967" t="s">
        <v>171</v>
      </c>
      <c r="D112" s="287">
        <v>2125</v>
      </c>
      <c r="E112" s="287">
        <v>2080</v>
      </c>
      <c r="F112" s="305">
        <f t="shared" si="3"/>
        <v>45</v>
      </c>
    </row>
    <row r="113" spans="2:7" ht="14" customHeight="1">
      <c r="B113" s="286">
        <v>2018</v>
      </c>
      <c r="C113" s="967" t="s">
        <v>172</v>
      </c>
      <c r="D113" s="287">
        <v>4315</v>
      </c>
      <c r="E113" s="287">
        <v>3305</v>
      </c>
      <c r="F113" s="305">
        <f t="shared" si="3"/>
        <v>1010</v>
      </c>
    </row>
    <row r="114" spans="2:7" ht="14" customHeight="1">
      <c r="B114" s="286">
        <v>2018</v>
      </c>
      <c r="C114" s="967" t="s">
        <v>173</v>
      </c>
      <c r="D114" s="287">
        <v>1960</v>
      </c>
      <c r="E114" s="287">
        <v>1950</v>
      </c>
      <c r="F114" s="305">
        <f t="shared" si="3"/>
        <v>10</v>
      </c>
    </row>
    <row r="115" spans="2:7" ht="14" customHeight="1">
      <c r="B115" s="289">
        <v>2018</v>
      </c>
      <c r="C115" s="290" t="s">
        <v>174</v>
      </c>
      <c r="D115" s="291">
        <v>4175</v>
      </c>
      <c r="E115" s="291">
        <v>4505</v>
      </c>
      <c r="F115" s="367">
        <f t="shared" si="3"/>
        <v>-330</v>
      </c>
      <c r="G115" s="295">
        <f>SUM(F104:F115)</f>
        <v>-2375</v>
      </c>
    </row>
    <row r="116" spans="2:7" ht="14" customHeight="1">
      <c r="B116" s="292">
        <v>2019</v>
      </c>
      <c r="C116" s="284" t="s">
        <v>163</v>
      </c>
      <c r="D116" s="287">
        <v>1950</v>
      </c>
      <c r="E116" s="287">
        <v>3905</v>
      </c>
      <c r="F116" s="305">
        <f t="shared" si="3"/>
        <v>-1955</v>
      </c>
    </row>
    <row r="117" spans="2:7" ht="14" customHeight="1">
      <c r="B117" s="293">
        <v>2019</v>
      </c>
      <c r="C117" s="967" t="s">
        <v>164</v>
      </c>
      <c r="D117" s="287">
        <v>1850</v>
      </c>
      <c r="E117" s="287">
        <v>1595</v>
      </c>
      <c r="F117" s="305">
        <f t="shared" si="3"/>
        <v>255</v>
      </c>
    </row>
    <row r="118" spans="2:7" ht="14" customHeight="1">
      <c r="B118" s="293">
        <v>2019</v>
      </c>
      <c r="C118" s="967" t="s">
        <v>165</v>
      </c>
      <c r="D118" s="287">
        <v>2000</v>
      </c>
      <c r="E118" s="287">
        <v>1950</v>
      </c>
      <c r="F118" s="305">
        <f t="shared" si="3"/>
        <v>50</v>
      </c>
    </row>
    <row r="119" spans="2:7" ht="14" customHeight="1">
      <c r="B119" s="293">
        <v>2019</v>
      </c>
      <c r="C119" s="967" t="s">
        <v>166</v>
      </c>
      <c r="D119" s="287">
        <v>3105</v>
      </c>
      <c r="E119" s="287">
        <v>2275</v>
      </c>
      <c r="F119" s="305">
        <f t="shared" si="3"/>
        <v>830</v>
      </c>
    </row>
    <row r="120" spans="2:7" ht="14" customHeight="1">
      <c r="B120" s="293">
        <v>2019</v>
      </c>
      <c r="C120" s="967" t="s">
        <v>167</v>
      </c>
      <c r="D120" s="287">
        <v>1950</v>
      </c>
      <c r="E120" s="287">
        <v>1816</v>
      </c>
      <c r="F120" s="305">
        <f t="shared" si="3"/>
        <v>134</v>
      </c>
    </row>
    <row r="121" spans="2:7" ht="14" customHeight="1">
      <c r="B121" s="293">
        <v>2019</v>
      </c>
      <c r="C121" s="967" t="s">
        <v>168</v>
      </c>
      <c r="D121" s="287">
        <v>1955</v>
      </c>
      <c r="E121" s="287">
        <v>1805</v>
      </c>
      <c r="F121" s="305">
        <f t="shared" si="3"/>
        <v>150</v>
      </c>
    </row>
    <row r="122" spans="2:7" ht="14" customHeight="1">
      <c r="B122" s="293">
        <v>2019</v>
      </c>
      <c r="C122" s="967" t="s">
        <v>169</v>
      </c>
      <c r="D122" s="287">
        <v>4250</v>
      </c>
      <c r="E122" s="287">
        <v>2875</v>
      </c>
      <c r="F122" s="305">
        <f t="shared" si="3"/>
        <v>1375</v>
      </c>
    </row>
    <row r="123" spans="2:7" ht="14" customHeight="1">
      <c r="B123" s="293">
        <v>2019</v>
      </c>
      <c r="C123" s="967" t="s">
        <v>170</v>
      </c>
      <c r="D123" s="287">
        <v>1960</v>
      </c>
      <c r="E123" s="287">
        <v>2940</v>
      </c>
      <c r="F123" s="305">
        <f t="shared" si="3"/>
        <v>-980</v>
      </c>
    </row>
    <row r="124" spans="2:7" ht="14" customHeight="1">
      <c r="B124" s="293">
        <v>2019</v>
      </c>
      <c r="C124" s="967" t="s">
        <v>171</v>
      </c>
      <c r="D124" s="287">
        <v>2130</v>
      </c>
      <c r="E124" s="287">
        <v>2130</v>
      </c>
      <c r="F124" s="305">
        <f t="shared" si="3"/>
        <v>0</v>
      </c>
    </row>
    <row r="125" spans="2:7" ht="14" customHeight="1">
      <c r="B125" s="293">
        <v>2019</v>
      </c>
      <c r="C125" s="967" t="s">
        <v>172</v>
      </c>
      <c r="D125" s="287">
        <v>4250</v>
      </c>
      <c r="E125" s="287">
        <v>2685</v>
      </c>
      <c r="F125" s="305">
        <f t="shared" si="3"/>
        <v>1565</v>
      </c>
    </row>
    <row r="126" spans="2:7" ht="14" customHeight="1">
      <c r="B126" s="293">
        <v>2019</v>
      </c>
      <c r="C126" s="967" t="s">
        <v>173</v>
      </c>
      <c r="D126" s="287">
        <v>1930</v>
      </c>
      <c r="E126" s="287">
        <v>1830</v>
      </c>
      <c r="F126" s="305">
        <f t="shared" si="3"/>
        <v>100</v>
      </c>
    </row>
    <row r="127" spans="2:7" ht="14" customHeight="1">
      <c r="B127" s="293">
        <v>2019</v>
      </c>
      <c r="C127" s="967" t="s">
        <v>174</v>
      </c>
      <c r="D127" s="291">
        <v>4245</v>
      </c>
      <c r="E127" s="291">
        <v>3295</v>
      </c>
      <c r="F127" s="367">
        <f t="shared" si="3"/>
        <v>950</v>
      </c>
      <c r="G127" s="279">
        <f>SUM(F116:F127)</f>
        <v>2474</v>
      </c>
    </row>
    <row r="128" spans="2:7" ht="14" customHeight="1">
      <c r="B128" s="283">
        <v>2020</v>
      </c>
      <c r="C128" s="284" t="s">
        <v>163</v>
      </c>
      <c r="D128" s="316">
        <v>2025</v>
      </c>
      <c r="E128" s="316">
        <v>2020</v>
      </c>
      <c r="F128" s="305">
        <f t="shared" si="3"/>
        <v>5</v>
      </c>
      <c r="G128" s="279"/>
    </row>
    <row r="129" spans="2:7" ht="14" customHeight="1">
      <c r="B129" s="286">
        <v>2020</v>
      </c>
      <c r="C129" s="967" t="s">
        <v>164</v>
      </c>
      <c r="D129" s="316">
        <v>1945</v>
      </c>
      <c r="E129" s="316">
        <v>1895</v>
      </c>
      <c r="F129" s="305">
        <f t="shared" si="3"/>
        <v>50</v>
      </c>
      <c r="G129" s="279"/>
    </row>
    <row r="130" spans="2:7" ht="14" customHeight="1">
      <c r="B130" s="286">
        <v>2020</v>
      </c>
      <c r="C130" s="967" t="s">
        <v>165</v>
      </c>
      <c r="D130" s="316">
        <v>1945</v>
      </c>
      <c r="E130" s="316">
        <v>1735</v>
      </c>
      <c r="F130" s="305">
        <f t="shared" si="3"/>
        <v>210</v>
      </c>
      <c r="G130" s="279"/>
    </row>
    <row r="131" spans="2:7" ht="14" customHeight="1">
      <c r="B131" s="286">
        <v>2020</v>
      </c>
      <c r="C131" s="967" t="s">
        <v>166</v>
      </c>
      <c r="D131" s="316">
        <v>3275</v>
      </c>
      <c r="E131" s="316">
        <v>1745</v>
      </c>
      <c r="F131" s="305">
        <f t="shared" si="3"/>
        <v>1530</v>
      </c>
      <c r="G131" s="279"/>
    </row>
    <row r="132" spans="2:7" ht="14" customHeight="1">
      <c r="B132" s="286">
        <v>2020</v>
      </c>
      <c r="C132" s="967" t="s">
        <v>167</v>
      </c>
      <c r="D132" s="316">
        <v>1995</v>
      </c>
      <c r="E132" s="316">
        <v>1515</v>
      </c>
      <c r="F132" s="305">
        <f t="shared" si="3"/>
        <v>480</v>
      </c>
      <c r="G132" s="279"/>
    </row>
    <row r="133" spans="2:7" ht="14" customHeight="1">
      <c r="B133" s="286">
        <v>2020</v>
      </c>
      <c r="C133" s="967" t="s">
        <v>168</v>
      </c>
      <c r="D133" s="316">
        <v>2000</v>
      </c>
      <c r="E133" s="316">
        <v>1865</v>
      </c>
      <c r="F133" s="305">
        <f t="shared" si="3"/>
        <v>135</v>
      </c>
      <c r="G133" s="279"/>
    </row>
    <row r="134" spans="2:7" ht="14" customHeight="1">
      <c r="B134" s="286">
        <v>2020</v>
      </c>
      <c r="C134" s="967" t="s">
        <v>169</v>
      </c>
      <c r="D134" s="287">
        <v>4345</v>
      </c>
      <c r="E134" s="316">
        <v>4605</v>
      </c>
      <c r="F134" s="305">
        <f t="shared" si="3"/>
        <v>-260</v>
      </c>
      <c r="G134" s="279"/>
    </row>
    <row r="135" spans="2:7" ht="14" customHeight="1">
      <c r="B135" s="286">
        <v>2020</v>
      </c>
      <c r="C135" s="967" t="s">
        <v>170</v>
      </c>
      <c r="D135" s="316">
        <v>2005</v>
      </c>
      <c r="E135" s="316">
        <v>2300</v>
      </c>
      <c r="F135" s="305">
        <f t="shared" si="3"/>
        <v>-295</v>
      </c>
      <c r="G135" s="279"/>
    </row>
    <row r="136" spans="2:7" ht="14" customHeight="1">
      <c r="B136" s="286">
        <v>2020</v>
      </c>
      <c r="C136" s="967" t="s">
        <v>171</v>
      </c>
      <c r="D136" s="316">
        <v>2175</v>
      </c>
      <c r="E136" s="316">
        <v>1995</v>
      </c>
      <c r="F136" s="305">
        <f t="shared" ref="F136:F151" si="4">D136-E136</f>
        <v>180</v>
      </c>
      <c r="G136" s="279"/>
    </row>
    <row r="137" spans="2:7" ht="14" customHeight="1">
      <c r="B137" s="286">
        <v>2020</v>
      </c>
      <c r="C137" s="967" t="s">
        <v>172</v>
      </c>
      <c r="D137" s="287">
        <v>4275</v>
      </c>
      <c r="E137" s="316">
        <v>2540</v>
      </c>
      <c r="F137" s="305">
        <f t="shared" si="4"/>
        <v>1735</v>
      </c>
      <c r="G137" s="279"/>
    </row>
    <row r="138" spans="2:7" ht="14" customHeight="1">
      <c r="B138" s="286">
        <v>2020</v>
      </c>
      <c r="C138" s="967" t="s">
        <v>173</v>
      </c>
      <c r="D138" s="316">
        <v>1960</v>
      </c>
      <c r="E138" s="316">
        <v>1755</v>
      </c>
      <c r="F138" s="305">
        <f t="shared" si="4"/>
        <v>205</v>
      </c>
      <c r="G138" s="279"/>
    </row>
    <row r="139" spans="2:7" ht="14" customHeight="1">
      <c r="B139" s="289">
        <v>2020</v>
      </c>
      <c r="C139" s="290" t="s">
        <v>174</v>
      </c>
      <c r="D139" s="291">
        <v>4300</v>
      </c>
      <c r="E139" s="323">
        <v>3725</v>
      </c>
      <c r="F139" s="367">
        <f t="shared" si="4"/>
        <v>575</v>
      </c>
      <c r="G139" s="279">
        <f>SUM(F128:F139)</f>
        <v>4550</v>
      </c>
    </row>
    <row r="140" spans="2:7" ht="14" customHeight="1">
      <c r="B140" s="293">
        <v>2021</v>
      </c>
      <c r="C140" s="284" t="s">
        <v>163</v>
      </c>
      <c r="D140" s="287">
        <v>6820</v>
      </c>
      <c r="E140" s="287">
        <v>2095</v>
      </c>
      <c r="F140" s="305">
        <f t="shared" si="4"/>
        <v>4725</v>
      </c>
      <c r="G140" s="279"/>
    </row>
    <row r="141" spans="2:7" ht="14" customHeight="1">
      <c r="B141" s="293">
        <v>2021</v>
      </c>
      <c r="C141" s="967" t="s">
        <v>164</v>
      </c>
      <c r="D141" s="287">
        <v>1980</v>
      </c>
      <c r="E141" s="287">
        <v>1665</v>
      </c>
      <c r="F141" s="305">
        <f t="shared" si="4"/>
        <v>315</v>
      </c>
      <c r="G141" s="279"/>
    </row>
    <row r="142" spans="2:7" ht="14" customHeight="1">
      <c r="B142" s="293">
        <v>2021</v>
      </c>
      <c r="C142" s="967" t="s">
        <v>165</v>
      </c>
      <c r="D142" s="287">
        <v>1980</v>
      </c>
      <c r="E142" s="287">
        <v>1730</v>
      </c>
      <c r="F142" s="305">
        <f t="shared" si="4"/>
        <v>250</v>
      </c>
      <c r="G142" s="279"/>
    </row>
    <row r="143" spans="2:7" ht="14" customHeight="1">
      <c r="B143" s="293">
        <v>2021</v>
      </c>
      <c r="C143" s="967" t="s">
        <v>166</v>
      </c>
      <c r="D143" s="287">
        <v>4150</v>
      </c>
      <c r="E143" s="287">
        <v>2690</v>
      </c>
      <c r="F143" s="305">
        <f t="shared" si="4"/>
        <v>1460</v>
      </c>
      <c r="G143" s="279"/>
    </row>
    <row r="144" spans="2:7" ht="14" customHeight="1">
      <c r="B144" s="293">
        <v>2021</v>
      </c>
      <c r="C144" s="967" t="s">
        <v>167</v>
      </c>
      <c r="D144" s="287">
        <v>1925</v>
      </c>
      <c r="E144" s="287">
        <v>1965</v>
      </c>
      <c r="F144" s="305">
        <f t="shared" si="4"/>
        <v>-40</v>
      </c>
      <c r="G144" s="279"/>
    </row>
    <row r="145" spans="2:7" ht="14" customHeight="1">
      <c r="B145" s="293">
        <v>2021</v>
      </c>
      <c r="C145" s="967" t="s">
        <v>168</v>
      </c>
      <c r="D145" s="287">
        <v>1925</v>
      </c>
      <c r="E145" s="287">
        <v>1955</v>
      </c>
      <c r="F145" s="305">
        <f t="shared" si="4"/>
        <v>-30</v>
      </c>
      <c r="G145" s="279"/>
    </row>
    <row r="146" spans="2:7" ht="14" customHeight="1">
      <c r="B146" s="293">
        <v>2021</v>
      </c>
      <c r="C146" s="967" t="s">
        <v>169</v>
      </c>
      <c r="D146" s="287">
        <v>4340</v>
      </c>
      <c r="E146" s="287">
        <v>3955</v>
      </c>
      <c r="F146" s="305">
        <f t="shared" si="4"/>
        <v>385</v>
      </c>
      <c r="G146" s="279"/>
    </row>
    <row r="147" spans="2:7" ht="14" customHeight="1">
      <c r="B147" s="293">
        <v>2021</v>
      </c>
      <c r="C147" s="967" t="s">
        <v>170</v>
      </c>
      <c r="D147" s="287">
        <v>2865</v>
      </c>
      <c r="E147" s="287">
        <v>3010</v>
      </c>
      <c r="F147" s="305">
        <f t="shared" si="4"/>
        <v>-145</v>
      </c>
      <c r="G147" s="279"/>
    </row>
    <row r="148" spans="2:7" ht="14" customHeight="1">
      <c r="B148" s="293">
        <v>2021</v>
      </c>
      <c r="C148" s="967" t="s">
        <v>171</v>
      </c>
      <c r="D148" s="287">
        <v>1920</v>
      </c>
      <c r="E148" s="287">
        <v>3770</v>
      </c>
      <c r="F148" s="305">
        <f t="shared" si="4"/>
        <v>-1850</v>
      </c>
      <c r="G148" s="279"/>
    </row>
    <row r="149" spans="2:7" ht="14" customHeight="1">
      <c r="B149" s="293">
        <v>2021</v>
      </c>
      <c r="C149" s="967" t="s">
        <v>172</v>
      </c>
      <c r="D149" s="287">
        <v>4110</v>
      </c>
      <c r="E149" s="287">
        <v>2800</v>
      </c>
      <c r="F149" s="305">
        <f t="shared" si="4"/>
        <v>1310</v>
      </c>
      <c r="G149" s="279"/>
    </row>
    <row r="150" spans="2:7" ht="14" customHeight="1">
      <c r="B150" s="293">
        <v>2021</v>
      </c>
      <c r="C150" s="967" t="s">
        <v>173</v>
      </c>
      <c r="D150" s="287">
        <v>1900</v>
      </c>
      <c r="E150" s="287">
        <v>2020</v>
      </c>
      <c r="F150" s="305">
        <f t="shared" si="4"/>
        <v>-120</v>
      </c>
      <c r="G150" s="279"/>
    </row>
    <row r="151" spans="2:7" ht="14" customHeight="1">
      <c r="B151" s="294">
        <v>2021</v>
      </c>
      <c r="C151" s="290" t="s">
        <v>174</v>
      </c>
      <c r="D151" s="291">
        <v>1900</v>
      </c>
      <c r="E151" s="291">
        <v>3370</v>
      </c>
      <c r="F151" s="305">
        <f t="shared" si="4"/>
        <v>-1470</v>
      </c>
      <c r="G151" s="279">
        <f>SUM(F140:F151)</f>
        <v>4790</v>
      </c>
    </row>
    <row r="152" spans="2:7" ht="14" customHeight="1">
      <c r="B152" s="283">
        <v>2022</v>
      </c>
      <c r="C152" s="284" t="s">
        <v>163</v>
      </c>
      <c r="D152" s="316">
        <v>4085</v>
      </c>
      <c r="E152" s="316">
        <v>4045</v>
      </c>
      <c r="F152" s="305">
        <v>40</v>
      </c>
      <c r="G152" s="279"/>
    </row>
    <row r="153" spans="2:7" ht="14" customHeight="1">
      <c r="B153" s="286">
        <v>2022</v>
      </c>
      <c r="C153" s="967" t="s">
        <v>164</v>
      </c>
      <c r="D153" s="316">
        <v>1885</v>
      </c>
      <c r="E153" s="316">
        <v>6470</v>
      </c>
      <c r="F153" s="305">
        <v>-4585</v>
      </c>
      <c r="G153" s="279"/>
    </row>
    <row r="154" spans="2:7" ht="14" customHeight="1">
      <c r="B154" s="286">
        <v>2022</v>
      </c>
      <c r="C154" s="967" t="s">
        <v>165</v>
      </c>
      <c r="D154" s="316">
        <v>1890</v>
      </c>
      <c r="E154" s="316">
        <v>1880</v>
      </c>
      <c r="F154" s="305">
        <v>10</v>
      </c>
      <c r="G154" s="279"/>
    </row>
    <row r="155" spans="2:7" ht="14" customHeight="1">
      <c r="B155" s="286">
        <v>2022</v>
      </c>
      <c r="C155" s="967" t="s">
        <v>166</v>
      </c>
      <c r="D155" s="316">
        <v>9225</v>
      </c>
      <c r="E155" s="316">
        <v>2155</v>
      </c>
      <c r="F155" s="305">
        <v>7070</v>
      </c>
      <c r="G155" s="279"/>
    </row>
    <row r="156" spans="2:7" ht="14" customHeight="1">
      <c r="B156" s="286">
        <v>2022</v>
      </c>
      <c r="C156" s="967" t="s">
        <v>167</v>
      </c>
      <c r="D156" s="316">
        <v>2400</v>
      </c>
      <c r="E156" s="316">
        <v>2451</v>
      </c>
      <c r="F156" s="305">
        <v>-51</v>
      </c>
      <c r="G156" s="279"/>
    </row>
    <row r="157" spans="2:7" ht="14" customHeight="1">
      <c r="B157" s="286">
        <v>2022</v>
      </c>
      <c r="C157" s="967" t="s">
        <v>168</v>
      </c>
      <c r="D157" s="316">
        <v>1845</v>
      </c>
      <c r="E157" s="316">
        <v>2065</v>
      </c>
      <c r="F157" s="305">
        <v>-220</v>
      </c>
      <c r="G157" s="279"/>
    </row>
    <row r="158" spans="2:7" ht="14" customHeight="1">
      <c r="B158" s="286">
        <v>2022</v>
      </c>
      <c r="C158" s="967" t="s">
        <v>169</v>
      </c>
      <c r="D158" s="316">
        <v>4025</v>
      </c>
      <c r="E158" s="316">
        <v>3040</v>
      </c>
      <c r="F158" s="305">
        <v>985</v>
      </c>
      <c r="G158" s="279"/>
    </row>
    <row r="159" spans="2:7" ht="14" customHeight="1">
      <c r="B159" s="286">
        <v>2022</v>
      </c>
      <c r="C159" s="967" t="s">
        <v>170</v>
      </c>
      <c r="D159" s="316">
        <v>2525</v>
      </c>
      <c r="E159" s="316">
        <v>4016</v>
      </c>
      <c r="F159" s="305">
        <v>-1491</v>
      </c>
      <c r="G159" s="279"/>
    </row>
    <row r="160" spans="2:7" ht="14" customHeight="1">
      <c r="B160" s="286">
        <v>2022</v>
      </c>
      <c r="C160" s="967" t="s">
        <v>171</v>
      </c>
      <c r="D160" s="316">
        <v>1880</v>
      </c>
      <c r="E160" s="316">
        <v>4700</v>
      </c>
      <c r="F160" s="305">
        <v>-2820</v>
      </c>
      <c r="G160" s="279"/>
    </row>
    <row r="161" spans="2:7" ht="14" customHeight="1">
      <c r="B161" s="286">
        <v>2022</v>
      </c>
      <c r="C161" s="967" t="s">
        <v>172</v>
      </c>
      <c r="D161" s="316">
        <v>3980</v>
      </c>
      <c r="E161" s="316">
        <v>3545</v>
      </c>
      <c r="F161" s="305">
        <v>435</v>
      </c>
      <c r="G161" s="279"/>
    </row>
    <row r="162" spans="2:7" ht="14" customHeight="1">
      <c r="B162" s="286">
        <v>2022</v>
      </c>
      <c r="C162" s="967" t="s">
        <v>173</v>
      </c>
      <c r="D162" s="316">
        <v>1800</v>
      </c>
      <c r="E162" s="316">
        <v>2165</v>
      </c>
      <c r="F162" s="305">
        <v>-365</v>
      </c>
      <c r="G162" s="279"/>
    </row>
    <row r="163" spans="2:7" ht="14" customHeight="1">
      <c r="B163" s="289">
        <v>2022</v>
      </c>
      <c r="C163" s="290" t="s">
        <v>174</v>
      </c>
      <c r="D163" s="323">
        <v>1790</v>
      </c>
      <c r="E163" s="323">
        <v>2140</v>
      </c>
      <c r="F163" s="367">
        <v>-350</v>
      </c>
      <c r="G163" s="279">
        <v>-1340</v>
      </c>
    </row>
    <row r="164" spans="2:7" ht="14" customHeight="1">
      <c r="B164" s="293">
        <v>2023</v>
      </c>
      <c r="C164" s="284" t="s">
        <v>163</v>
      </c>
      <c r="D164" s="287">
        <v>3900</v>
      </c>
      <c r="E164" s="287">
        <v>3495</v>
      </c>
      <c r="F164" s="305">
        <f t="shared" ref="F164:F175" si="5">D164-E164</f>
        <v>405</v>
      </c>
      <c r="G164" s="279"/>
    </row>
    <row r="165" spans="2:7" ht="14" customHeight="1">
      <c r="B165" s="293">
        <v>2023</v>
      </c>
      <c r="C165" s="967" t="s">
        <v>164</v>
      </c>
      <c r="D165" s="287">
        <v>1790</v>
      </c>
      <c r="E165" s="287">
        <v>10430</v>
      </c>
      <c r="F165" s="305">
        <f t="shared" si="5"/>
        <v>-8640</v>
      </c>
      <c r="G165" s="279"/>
    </row>
    <row r="166" spans="2:7" ht="14" customHeight="1">
      <c r="B166" s="293">
        <v>2023</v>
      </c>
      <c r="C166" s="967" t="s">
        <v>165</v>
      </c>
      <c r="D166" s="287">
        <v>1770</v>
      </c>
      <c r="E166" s="287">
        <v>1825</v>
      </c>
      <c r="F166" s="305">
        <f t="shared" si="5"/>
        <v>-55</v>
      </c>
      <c r="G166" s="279"/>
    </row>
    <row r="167" spans="2:7" ht="14" customHeight="1">
      <c r="B167" s="293">
        <v>2023</v>
      </c>
      <c r="C167" s="967" t="s">
        <v>166</v>
      </c>
      <c r="D167" s="287">
        <v>9700</v>
      </c>
      <c r="E167" s="287">
        <v>6045</v>
      </c>
      <c r="F167" s="305">
        <f t="shared" si="5"/>
        <v>3655</v>
      </c>
      <c r="G167" s="279"/>
    </row>
    <row r="168" spans="2:7" ht="14" customHeight="1">
      <c r="B168" s="293">
        <v>2023</v>
      </c>
      <c r="C168" s="967" t="s">
        <v>167</v>
      </c>
      <c r="D168" s="287">
        <v>1830</v>
      </c>
      <c r="E168" s="287">
        <v>2730</v>
      </c>
      <c r="F168" s="305">
        <f t="shared" si="5"/>
        <v>-900</v>
      </c>
      <c r="G168" s="279"/>
    </row>
    <row r="169" spans="2:7" ht="14" customHeight="1">
      <c r="B169" s="293">
        <v>2023</v>
      </c>
      <c r="C169" s="967" t="s">
        <v>168</v>
      </c>
      <c r="D169" s="287">
        <v>1840</v>
      </c>
      <c r="E169" s="287">
        <v>2770</v>
      </c>
      <c r="F169" s="305">
        <f t="shared" si="5"/>
        <v>-930</v>
      </c>
      <c r="G169" s="279"/>
    </row>
    <row r="170" spans="2:7" ht="14" customHeight="1">
      <c r="B170" s="293">
        <v>2023</v>
      </c>
      <c r="C170" s="967" t="s">
        <v>169</v>
      </c>
      <c r="D170" s="287">
        <v>4095</v>
      </c>
      <c r="E170" s="287">
        <v>3575</v>
      </c>
      <c r="F170" s="305">
        <f t="shared" si="5"/>
        <v>520</v>
      </c>
      <c r="G170" s="279"/>
    </row>
    <row r="171" spans="2:7" ht="14" customHeight="1">
      <c r="B171" s="293">
        <v>2023</v>
      </c>
      <c r="C171" s="967" t="s">
        <v>170</v>
      </c>
      <c r="D171" s="287">
        <v>2915</v>
      </c>
      <c r="E171" s="287">
        <v>3120</v>
      </c>
      <c r="F171" s="305">
        <f t="shared" si="5"/>
        <v>-205</v>
      </c>
      <c r="G171" s="279"/>
    </row>
    <row r="172" spans="2:7" ht="14" customHeight="1">
      <c r="B172" s="293">
        <v>2023</v>
      </c>
      <c r="C172" s="967" t="s">
        <v>171</v>
      </c>
      <c r="D172" s="287">
        <v>1955</v>
      </c>
      <c r="E172" s="287">
        <v>2060</v>
      </c>
      <c r="F172" s="305">
        <f t="shared" si="5"/>
        <v>-105</v>
      </c>
      <c r="G172" s="279"/>
    </row>
    <row r="173" spans="2:7" ht="14" customHeight="1">
      <c r="B173" s="293">
        <v>2023</v>
      </c>
      <c r="C173" s="967" t="s">
        <v>172</v>
      </c>
      <c r="D173" s="287">
        <v>4235</v>
      </c>
      <c r="E173" s="287">
        <v>4420</v>
      </c>
      <c r="F173" s="305">
        <f t="shared" si="5"/>
        <v>-185</v>
      </c>
      <c r="G173" s="279"/>
    </row>
    <row r="174" spans="2:7" ht="14" customHeight="1">
      <c r="B174" s="293">
        <v>2023</v>
      </c>
      <c r="C174" s="967" t="s">
        <v>173</v>
      </c>
      <c r="D174" s="287">
        <v>1975</v>
      </c>
      <c r="E174" s="287">
        <v>2690</v>
      </c>
      <c r="F174" s="305">
        <f t="shared" si="5"/>
        <v>-715</v>
      </c>
      <c r="G174" s="279"/>
    </row>
    <row r="175" spans="2:7" ht="14" customHeight="1">
      <c r="B175" s="294">
        <v>2023</v>
      </c>
      <c r="C175" s="290" t="s">
        <v>174</v>
      </c>
      <c r="D175" s="825">
        <v>1975</v>
      </c>
      <c r="E175" s="825">
        <v>3275</v>
      </c>
      <c r="F175" s="305">
        <f t="shared" si="5"/>
        <v>-1300</v>
      </c>
      <c r="G175" s="279">
        <f>SUM(F164:F175)</f>
        <v>-8455</v>
      </c>
    </row>
    <row r="176" spans="2:7" ht="14" customHeight="1">
      <c r="B176" s="283">
        <v>2024</v>
      </c>
      <c r="C176" s="284" t="s">
        <v>163</v>
      </c>
      <c r="D176" s="287"/>
      <c r="E176" s="287"/>
      <c r="F176" s="305"/>
      <c r="G176" s="279"/>
    </row>
    <row r="177" spans="2:7" ht="14" customHeight="1">
      <c r="B177" s="286">
        <v>2024</v>
      </c>
      <c r="C177" s="967" t="s">
        <v>164</v>
      </c>
      <c r="D177" s="287"/>
      <c r="E177" s="287"/>
      <c r="F177" s="305"/>
      <c r="G177" s="279"/>
    </row>
    <row r="178" spans="2:7" ht="14" customHeight="1">
      <c r="B178" s="286">
        <v>2024</v>
      </c>
      <c r="C178" s="967" t="s">
        <v>165</v>
      </c>
      <c r="D178" s="287"/>
      <c r="E178" s="287"/>
      <c r="F178" s="305"/>
      <c r="G178" s="279"/>
    </row>
    <row r="179" spans="2:7" ht="14" customHeight="1">
      <c r="B179" s="286">
        <v>2024</v>
      </c>
      <c r="C179" s="967" t="s">
        <v>166</v>
      </c>
      <c r="D179" s="287"/>
      <c r="E179" s="287"/>
      <c r="F179" s="305"/>
      <c r="G179" s="279"/>
    </row>
    <row r="180" spans="2:7" ht="14" customHeight="1">
      <c r="B180" s="286">
        <v>2024</v>
      </c>
      <c r="C180" s="967" t="s">
        <v>167</v>
      </c>
      <c r="D180" s="287"/>
      <c r="E180" s="287"/>
      <c r="F180" s="305"/>
      <c r="G180" s="279"/>
    </row>
    <row r="181" spans="2:7" ht="14" customHeight="1">
      <c r="B181" s="286">
        <v>2024</v>
      </c>
      <c r="C181" s="967" t="s">
        <v>168</v>
      </c>
      <c r="D181" s="287"/>
      <c r="E181" s="287"/>
      <c r="F181" s="305"/>
      <c r="G181" s="279"/>
    </row>
    <row r="182" spans="2:7" ht="14" customHeight="1">
      <c r="B182" s="286">
        <v>2024</v>
      </c>
      <c r="C182" s="967" t="s">
        <v>169</v>
      </c>
      <c r="D182" s="287"/>
      <c r="E182" s="287"/>
      <c r="F182" s="305"/>
      <c r="G182" s="279"/>
    </row>
    <row r="183" spans="2:7" ht="14" customHeight="1">
      <c r="B183" s="286">
        <v>2024</v>
      </c>
      <c r="C183" s="967" t="s">
        <v>170</v>
      </c>
      <c r="D183" s="287"/>
      <c r="E183" s="287"/>
      <c r="F183" s="305"/>
      <c r="G183" s="279"/>
    </row>
    <row r="184" spans="2:7" ht="14" customHeight="1">
      <c r="B184" s="286">
        <v>2024</v>
      </c>
      <c r="C184" s="967" t="s">
        <v>171</v>
      </c>
      <c r="D184" s="287"/>
      <c r="E184" s="287"/>
      <c r="F184" s="305"/>
      <c r="G184" s="279"/>
    </row>
    <row r="185" spans="2:7" ht="14" customHeight="1">
      <c r="B185" s="286">
        <v>2024</v>
      </c>
      <c r="C185" s="967" t="s">
        <v>172</v>
      </c>
      <c r="D185" s="287"/>
      <c r="E185" s="287"/>
      <c r="F185" s="305"/>
      <c r="G185" s="279"/>
    </row>
    <row r="186" spans="2:7" ht="14" customHeight="1">
      <c r="B186" s="286">
        <v>2024</v>
      </c>
      <c r="C186" s="967" t="s">
        <v>173</v>
      </c>
      <c r="D186" s="287"/>
      <c r="E186" s="287"/>
      <c r="F186" s="305"/>
      <c r="G186" s="279"/>
    </row>
    <row r="187" spans="2:7" ht="14" customHeight="1">
      <c r="B187" s="289">
        <v>2024</v>
      </c>
      <c r="C187" s="290" t="s">
        <v>174</v>
      </c>
      <c r="D187" s="825"/>
      <c r="E187" s="825"/>
      <c r="F187" s="305"/>
      <c r="G187" s="279"/>
    </row>
    <row r="188" spans="2:7" ht="14" customHeight="1">
      <c r="B188" s="293">
        <v>2025</v>
      </c>
      <c r="C188" s="284" t="s">
        <v>163</v>
      </c>
      <c r="D188" s="287"/>
      <c r="E188" s="287"/>
      <c r="F188" s="305"/>
      <c r="G188" s="279"/>
    </row>
    <row r="189" spans="2:7" ht="14" customHeight="1">
      <c r="B189" s="293">
        <v>2025</v>
      </c>
      <c r="C189" s="967" t="s">
        <v>164</v>
      </c>
      <c r="D189" s="287"/>
      <c r="E189" s="287"/>
      <c r="F189" s="305"/>
      <c r="G189" s="279"/>
    </row>
    <row r="190" spans="2:7" ht="14" customHeight="1">
      <c r="B190" s="293">
        <v>2025</v>
      </c>
      <c r="C190" s="967" t="s">
        <v>165</v>
      </c>
      <c r="D190" s="287"/>
      <c r="E190" s="287"/>
      <c r="F190" s="305"/>
      <c r="G190" s="279"/>
    </row>
    <row r="191" spans="2:7" ht="14" customHeight="1">
      <c r="B191" s="293">
        <v>2025</v>
      </c>
      <c r="C191" s="967" t="s">
        <v>166</v>
      </c>
      <c r="D191" s="287"/>
      <c r="E191" s="287"/>
      <c r="F191" s="305"/>
      <c r="G191" s="279"/>
    </row>
    <row r="192" spans="2:7" ht="14" customHeight="1">
      <c r="B192" s="293">
        <v>2025</v>
      </c>
      <c r="C192" s="967" t="s">
        <v>167</v>
      </c>
      <c r="D192" s="287"/>
      <c r="E192" s="287"/>
      <c r="F192" s="305"/>
      <c r="G192" s="279"/>
    </row>
    <row r="193" spans="2:7" ht="14" customHeight="1">
      <c r="B193" s="293">
        <v>2025</v>
      </c>
      <c r="C193" s="967" t="s">
        <v>168</v>
      </c>
      <c r="D193" s="287"/>
      <c r="E193" s="287"/>
      <c r="F193" s="305"/>
      <c r="G193" s="279"/>
    </row>
    <row r="194" spans="2:7" ht="14" customHeight="1">
      <c r="B194" s="293">
        <v>2025</v>
      </c>
      <c r="C194" s="967" t="s">
        <v>169</v>
      </c>
      <c r="D194" s="287"/>
      <c r="E194" s="287"/>
      <c r="F194" s="305"/>
      <c r="G194" s="279"/>
    </row>
    <row r="195" spans="2:7" ht="14" customHeight="1">
      <c r="B195" s="293">
        <v>2025</v>
      </c>
      <c r="C195" s="967" t="s">
        <v>170</v>
      </c>
      <c r="D195" s="287"/>
      <c r="E195" s="287"/>
      <c r="F195" s="305"/>
      <c r="G195" s="279"/>
    </row>
    <row r="196" spans="2:7" ht="14" customHeight="1">
      <c r="B196" s="293">
        <v>2025</v>
      </c>
      <c r="C196" s="967" t="s">
        <v>171</v>
      </c>
      <c r="D196" s="287"/>
      <c r="E196" s="287"/>
      <c r="F196" s="305"/>
      <c r="G196" s="279"/>
    </row>
    <row r="197" spans="2:7" ht="14" customHeight="1">
      <c r="B197" s="293">
        <v>2025</v>
      </c>
      <c r="C197" s="967" t="s">
        <v>172</v>
      </c>
      <c r="D197" s="287"/>
      <c r="E197" s="287"/>
      <c r="F197" s="305"/>
      <c r="G197" s="279"/>
    </row>
    <row r="198" spans="2:7" ht="14" customHeight="1">
      <c r="B198" s="293">
        <v>2025</v>
      </c>
      <c r="C198" s="967" t="s">
        <v>173</v>
      </c>
      <c r="D198" s="287"/>
      <c r="E198" s="287"/>
      <c r="F198" s="305"/>
      <c r="G198" s="279"/>
    </row>
    <row r="199" spans="2:7" ht="14" customHeight="1">
      <c r="B199" s="294">
        <v>2025</v>
      </c>
      <c r="C199" s="290" t="s">
        <v>174</v>
      </c>
      <c r="D199" s="287"/>
      <c r="E199" s="287"/>
      <c r="F199" s="305"/>
      <c r="G199" s="279"/>
    </row>
    <row r="200" spans="2:7">
      <c r="B200" s="293"/>
      <c r="C200" s="967"/>
      <c r="D200" s="287"/>
      <c r="E200" s="287"/>
      <c r="F200" s="305"/>
      <c r="G200" s="279"/>
    </row>
    <row r="201" spans="2:7">
      <c r="B201" s="294"/>
      <c r="C201" s="290"/>
      <c r="D201" s="291"/>
      <c r="E201" s="291"/>
      <c r="F201" s="307"/>
    </row>
    <row r="202" spans="2:7">
      <c r="D202" s="278"/>
      <c r="E202" s="278"/>
    </row>
    <row r="203" spans="2:7" ht="16" customHeight="1">
      <c r="B203" s="1023" t="s">
        <v>175</v>
      </c>
      <c r="C203" s="1016"/>
      <c r="D203" s="280">
        <f>SUM(D8:D201)</f>
        <v>443670</v>
      </c>
      <c r="E203" s="280">
        <f>SUM(E8:E201)</f>
        <v>455653</v>
      </c>
      <c r="F203" s="281">
        <f>SUM(F8:F201)</f>
        <v>-11983</v>
      </c>
      <c r="G203" s="281">
        <f>SUM(G8:G201)</f>
        <v>-11981</v>
      </c>
    </row>
    <row r="209" spans="4:8">
      <c r="D209" s="970"/>
      <c r="E209" s="970"/>
      <c r="F209" s="971"/>
      <c r="G209" s="971"/>
      <c r="H209" s="971"/>
    </row>
    <row r="210" spans="4:8">
      <c r="D210" s="313"/>
      <c r="E210" s="967"/>
      <c r="F210" s="316"/>
      <c r="G210" s="316"/>
      <c r="H210" s="315"/>
    </row>
    <row r="211" spans="4:8">
      <c r="D211" s="313"/>
      <c r="E211" s="967"/>
      <c r="F211" s="316"/>
      <c r="G211" s="316"/>
      <c r="H211" s="315"/>
    </row>
    <row r="212" spans="4:8">
      <c r="D212" s="313"/>
      <c r="E212" s="967"/>
      <c r="F212" s="316"/>
      <c r="G212" s="316"/>
      <c r="H212" s="315"/>
    </row>
    <row r="213" spans="4:8">
      <c r="D213" s="313"/>
      <c r="E213" s="967"/>
      <c r="F213" s="316"/>
      <c r="G213" s="316"/>
      <c r="H213" s="316"/>
    </row>
    <row r="214" spans="4:8">
      <c r="D214" s="313"/>
      <c r="E214" s="967"/>
      <c r="F214" s="316"/>
      <c r="G214" s="316"/>
      <c r="H214" s="315"/>
    </row>
    <row r="215" spans="4:8">
      <c r="D215" s="313"/>
      <c r="E215" s="967"/>
      <c r="F215" s="316"/>
      <c r="G215" s="316"/>
      <c r="H215" s="315"/>
    </row>
    <row r="216" spans="4:8">
      <c r="D216" s="313"/>
      <c r="E216" s="967"/>
      <c r="F216" s="316"/>
      <c r="G216" s="316"/>
      <c r="H216" s="314"/>
    </row>
    <row r="217" spans="4:8">
      <c r="D217" s="313"/>
      <c r="E217" s="967"/>
      <c r="F217" s="316"/>
      <c r="G217" s="316"/>
      <c r="H217" s="314"/>
    </row>
    <row r="218" spans="4:8">
      <c r="D218" s="313"/>
      <c r="E218" s="967"/>
      <c r="F218" s="316"/>
      <c r="G218" s="316"/>
      <c r="H218" s="315"/>
    </row>
    <row r="219" spans="4:8">
      <c r="D219" s="313"/>
      <c r="E219" s="967"/>
      <c r="F219" s="316"/>
      <c r="G219" s="316"/>
      <c r="H219" s="316"/>
    </row>
    <row r="220" spans="4:8">
      <c r="D220" s="313"/>
      <c r="E220" s="967"/>
      <c r="F220" s="316"/>
      <c r="G220" s="316"/>
      <c r="H220" s="315"/>
    </row>
    <row r="221" spans="4:8">
      <c r="D221" s="313"/>
      <c r="E221" s="967"/>
      <c r="F221" s="316"/>
      <c r="G221" s="316"/>
      <c r="H221" s="315"/>
    </row>
    <row r="222" spans="4:8" ht="12.75" customHeight="1">
      <c r="D222" s="1017"/>
      <c r="E222" s="1016"/>
      <c r="F222" s="322"/>
      <c r="G222" s="322"/>
      <c r="H222" s="322"/>
    </row>
  </sheetData>
  <mergeCells count="2">
    <mergeCell ref="D222:E222"/>
    <mergeCell ref="B203:C203"/>
  </mergeCells>
  <conditionalFormatting sqref="D8:D134">
    <cfRule type="cellIs" dxfId="9" priority="5" operator="greaterThan">
      <formula>4000</formula>
    </cfRule>
    <cfRule type="cellIs" dxfId="8" priority="6" operator="greaterThan">
      <formula>4000</formula>
    </cfRule>
  </conditionalFormatting>
  <conditionalFormatting sqref="D137">
    <cfRule type="cellIs" dxfId="7" priority="3" operator="greaterThan">
      <formula>4000</formula>
    </cfRule>
    <cfRule type="cellIs" dxfId="6" priority="4" operator="greaterThan">
      <formula>4000</formula>
    </cfRule>
  </conditionalFormatting>
  <conditionalFormatting sqref="D139:D201">
    <cfRule type="cellIs" dxfId="5" priority="1" operator="greaterThan">
      <formula>4000</formula>
    </cfRule>
    <cfRule type="cellIs" dxfId="4" priority="2" operator="greaterThan">
      <formula>4000</formula>
    </cfRule>
  </conditionalFormatting>
  <conditionalFormatting sqref="E8:E127 E140:E201">
    <cfRule type="cellIs" dxfId="3" priority="9" operator="greaterThan">
      <formula>5000</formula>
    </cfRule>
    <cfRule type="cellIs" dxfId="2" priority="10" operator="greaterThan">
      <formula>5000</formula>
    </cfRule>
  </conditionalFormatting>
  <conditionalFormatting sqref="F8:F201">
    <cfRule type="cellIs" dxfId="1" priority="7" operator="lessThan">
      <formula>-1000</formula>
    </cfRule>
    <cfRule type="cellIs" dxfId="0" priority="8" operator="greaterThan">
      <formula>2000</formula>
    </cfRule>
  </conditionalFormatting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MK311"/>
  <sheetViews>
    <sheetView showGridLines="0" zoomScale="85" zoomScaleNormal="85" workbookViewId="0">
      <selection activeCell="M55" sqref="M55"/>
    </sheetView>
  </sheetViews>
  <sheetFormatPr baseColWidth="10" defaultColWidth="9.1640625" defaultRowHeight="13"/>
  <cols>
    <col min="1" max="1" width="7.6640625" style="70" customWidth="1"/>
    <col min="2" max="2" width="13.5" style="70" customWidth="1"/>
    <col min="3" max="3" width="7.1640625" style="70" bestFit="1" customWidth="1"/>
    <col min="4" max="4" width="12.33203125" style="70" bestFit="1" customWidth="1"/>
    <col min="5" max="5" width="36.1640625" style="70" customWidth="1"/>
    <col min="6" max="6" width="11.33203125" style="70" customWidth="1"/>
    <col min="7" max="7" width="13" style="70" customWidth="1"/>
    <col min="8" max="8" width="16.1640625" style="70" customWidth="1"/>
    <col min="9" max="9" width="11.33203125" style="70" customWidth="1"/>
    <col min="10" max="10" width="15.33203125" style="70" customWidth="1"/>
    <col min="11" max="12" width="11.33203125" style="70" customWidth="1"/>
    <col min="13" max="13" width="15.1640625" style="70" customWidth="1"/>
    <col min="14" max="1025" width="11.33203125" style="70" customWidth="1"/>
  </cols>
  <sheetData>
    <row r="2" spans="2:10" ht="18" customHeight="1">
      <c r="B2" s="98">
        <v>2009</v>
      </c>
    </row>
    <row r="3" spans="2:10" s="99" customFormat="1" ht="64.5" customHeight="1">
      <c r="B3" s="100" t="s">
        <v>0</v>
      </c>
      <c r="C3" s="101" t="s">
        <v>835</v>
      </c>
      <c r="D3" s="102" t="s">
        <v>284</v>
      </c>
      <c r="E3" s="102"/>
      <c r="F3" s="103" t="s">
        <v>836</v>
      </c>
      <c r="G3" s="104" t="s">
        <v>837</v>
      </c>
      <c r="H3" s="105" t="s">
        <v>838</v>
      </c>
      <c r="I3" s="106" t="s">
        <v>839</v>
      </c>
    </row>
    <row r="4" spans="2:10">
      <c r="B4" s="107">
        <v>5460</v>
      </c>
      <c r="C4" s="108">
        <v>475</v>
      </c>
      <c r="D4" s="109">
        <v>450</v>
      </c>
      <c r="E4" s="110" t="s">
        <v>840</v>
      </c>
      <c r="F4" s="111">
        <v>205</v>
      </c>
      <c r="G4" s="112">
        <v>0</v>
      </c>
      <c r="H4" s="113">
        <v>0</v>
      </c>
      <c r="I4" s="114">
        <v>300</v>
      </c>
      <c r="J4" s="70" t="s">
        <v>841</v>
      </c>
    </row>
    <row r="5" spans="2:10">
      <c r="B5" s="107">
        <v>320</v>
      </c>
      <c r="C5" s="115">
        <v>30</v>
      </c>
      <c r="D5" s="109">
        <v>40</v>
      </c>
      <c r="E5" s="110" t="s">
        <v>13</v>
      </c>
      <c r="F5" s="115">
        <v>50</v>
      </c>
      <c r="G5" s="112">
        <v>35</v>
      </c>
      <c r="H5" s="116">
        <v>72.0833333333333</v>
      </c>
      <c r="I5" s="114">
        <v>45</v>
      </c>
    </row>
    <row r="6" spans="2:10">
      <c r="B6" s="107">
        <v>1200</v>
      </c>
      <c r="C6" s="115">
        <v>100</v>
      </c>
      <c r="D6" s="109">
        <v>100</v>
      </c>
      <c r="E6" s="110" t="s">
        <v>842</v>
      </c>
      <c r="F6" s="115">
        <v>0</v>
      </c>
      <c r="G6" s="112">
        <v>0</v>
      </c>
      <c r="H6" s="116">
        <v>0</v>
      </c>
      <c r="I6" s="114">
        <v>0</v>
      </c>
    </row>
    <row r="7" spans="2:10">
      <c r="B7" s="107">
        <v>1200</v>
      </c>
      <c r="C7" s="115">
        <v>100</v>
      </c>
      <c r="D7" s="109">
        <v>50</v>
      </c>
      <c r="E7" s="110" t="s">
        <v>843</v>
      </c>
      <c r="F7" s="115">
        <v>0</v>
      </c>
      <c r="G7" s="112">
        <v>0</v>
      </c>
      <c r="H7" s="117">
        <v>13.3333333333333</v>
      </c>
      <c r="I7" s="114">
        <v>0</v>
      </c>
    </row>
    <row r="8" spans="2:10">
      <c r="B8" s="107">
        <v>1770</v>
      </c>
      <c r="C8" s="108">
        <v>150</v>
      </c>
      <c r="D8" s="109">
        <v>100</v>
      </c>
      <c r="E8" s="110" t="s">
        <v>16</v>
      </c>
      <c r="F8" s="111">
        <v>200</v>
      </c>
      <c r="G8" s="118">
        <v>200</v>
      </c>
      <c r="H8" s="113">
        <v>108.75</v>
      </c>
      <c r="I8" s="114">
        <v>75</v>
      </c>
    </row>
    <row r="9" spans="2:10">
      <c r="B9" s="107">
        <v>325</v>
      </c>
      <c r="C9" s="115">
        <v>30</v>
      </c>
      <c r="D9" s="109">
        <v>25</v>
      </c>
      <c r="E9" s="110" t="s">
        <v>17</v>
      </c>
      <c r="F9" s="115">
        <v>40</v>
      </c>
      <c r="G9" s="112">
        <v>30</v>
      </c>
      <c r="H9" s="116">
        <v>64.1666666666667</v>
      </c>
      <c r="I9" s="114">
        <v>30</v>
      </c>
    </row>
    <row r="10" spans="2:10">
      <c r="B10" s="107">
        <v>835</v>
      </c>
      <c r="C10" s="115">
        <v>75</v>
      </c>
      <c r="D10" s="109">
        <v>60</v>
      </c>
      <c r="E10" s="110" t="s">
        <v>844</v>
      </c>
      <c r="F10" s="115">
        <v>70</v>
      </c>
      <c r="G10" s="112">
        <v>70</v>
      </c>
      <c r="H10" s="116">
        <v>176.25</v>
      </c>
      <c r="I10" s="114">
        <v>50</v>
      </c>
    </row>
    <row r="11" spans="2:10">
      <c r="B11" s="107">
        <v>2110</v>
      </c>
      <c r="C11" s="108">
        <v>175</v>
      </c>
      <c r="D11" s="109">
        <v>150</v>
      </c>
      <c r="E11" s="110" t="s">
        <v>19</v>
      </c>
      <c r="F11" s="111">
        <v>150</v>
      </c>
      <c r="G11" s="112">
        <v>120</v>
      </c>
      <c r="H11" s="113">
        <v>40</v>
      </c>
      <c r="I11" s="114">
        <v>75</v>
      </c>
    </row>
    <row r="12" spans="2:10">
      <c r="B12" s="107">
        <v>850</v>
      </c>
      <c r="C12" s="115">
        <f>B12/10</f>
        <v>85</v>
      </c>
      <c r="D12" s="109">
        <v>75</v>
      </c>
      <c r="E12" s="110" t="s">
        <v>845</v>
      </c>
      <c r="F12" s="115">
        <v>0</v>
      </c>
      <c r="G12" s="112">
        <v>60</v>
      </c>
      <c r="H12" s="116">
        <v>66.6666666666667</v>
      </c>
      <c r="I12" s="114">
        <v>60</v>
      </c>
      <c r="J12" s="70" t="s">
        <v>846</v>
      </c>
    </row>
    <row r="13" spans="2:10">
      <c r="B13" s="107">
        <v>120</v>
      </c>
      <c r="C13" s="115">
        <v>10</v>
      </c>
      <c r="D13" s="109">
        <v>5</v>
      </c>
      <c r="E13" s="110" t="s">
        <v>24</v>
      </c>
      <c r="F13" s="115">
        <v>0</v>
      </c>
      <c r="G13" s="112">
        <v>25</v>
      </c>
      <c r="H13" s="116">
        <v>11.25</v>
      </c>
      <c r="I13" s="114">
        <v>10</v>
      </c>
    </row>
    <row r="14" spans="2:10">
      <c r="B14" s="107">
        <v>0</v>
      </c>
      <c r="C14" s="115">
        <v>0</v>
      </c>
      <c r="D14" s="109">
        <v>0</v>
      </c>
      <c r="E14" s="110" t="s">
        <v>25</v>
      </c>
      <c r="F14" s="115">
        <v>0</v>
      </c>
      <c r="G14" s="112">
        <v>0</v>
      </c>
      <c r="H14" s="116">
        <v>0</v>
      </c>
      <c r="I14" s="114">
        <v>0</v>
      </c>
    </row>
    <row r="15" spans="2:10">
      <c r="B15" s="107">
        <v>12</v>
      </c>
      <c r="C15" s="115">
        <v>5</v>
      </c>
      <c r="D15" s="109">
        <v>5</v>
      </c>
      <c r="E15" s="110" t="s">
        <v>26</v>
      </c>
      <c r="F15" s="115">
        <v>0</v>
      </c>
      <c r="G15" s="112">
        <v>10</v>
      </c>
      <c r="H15" s="116">
        <v>0.83333333333333304</v>
      </c>
      <c r="I15" s="114">
        <v>0</v>
      </c>
    </row>
    <row r="16" spans="2:10">
      <c r="B16" s="107">
        <v>830</v>
      </c>
      <c r="C16" s="115">
        <v>75</v>
      </c>
      <c r="D16" s="109">
        <v>100</v>
      </c>
      <c r="E16" s="110" t="s">
        <v>27</v>
      </c>
      <c r="F16" s="115">
        <v>50</v>
      </c>
      <c r="G16" s="112">
        <v>50</v>
      </c>
      <c r="H16" s="116">
        <v>29.1666666666667</v>
      </c>
      <c r="I16" s="114">
        <v>0</v>
      </c>
    </row>
    <row r="17" spans="2:9">
      <c r="B17" s="107">
        <v>1750</v>
      </c>
      <c r="C17" s="115">
        <v>150</v>
      </c>
      <c r="D17" s="109">
        <v>50</v>
      </c>
      <c r="E17" s="110" t="s">
        <v>847</v>
      </c>
      <c r="F17" s="115">
        <v>25</v>
      </c>
      <c r="G17" s="112">
        <v>25</v>
      </c>
      <c r="H17" s="116">
        <v>62.0833333333333</v>
      </c>
      <c r="I17" s="114">
        <v>25</v>
      </c>
    </row>
    <row r="18" spans="2:9">
      <c r="B18" s="107">
        <v>1700</v>
      </c>
      <c r="C18" s="108">
        <v>150</v>
      </c>
      <c r="D18" s="109">
        <v>100</v>
      </c>
      <c r="E18" s="110" t="s">
        <v>151</v>
      </c>
      <c r="F18" s="111">
        <v>125</v>
      </c>
      <c r="G18" s="112">
        <v>120</v>
      </c>
      <c r="H18" s="113">
        <v>77.5</v>
      </c>
      <c r="I18" s="114">
        <v>50</v>
      </c>
    </row>
    <row r="19" spans="2:9">
      <c r="B19" s="107">
        <v>10</v>
      </c>
      <c r="C19" s="115">
        <v>2</v>
      </c>
      <c r="D19" s="109">
        <v>2</v>
      </c>
      <c r="E19" s="110" t="s">
        <v>848</v>
      </c>
      <c r="F19" s="115">
        <v>0</v>
      </c>
      <c r="G19" s="112">
        <v>0</v>
      </c>
      <c r="H19" s="116">
        <v>0.41666666666666702</v>
      </c>
      <c r="I19" s="114">
        <v>0</v>
      </c>
    </row>
    <row r="20" spans="2:9">
      <c r="B20" s="107">
        <v>185</v>
      </c>
      <c r="C20" s="115">
        <v>15</v>
      </c>
      <c r="D20" s="109">
        <v>25</v>
      </c>
      <c r="E20" s="110" t="s">
        <v>31</v>
      </c>
      <c r="F20" s="115">
        <v>0</v>
      </c>
      <c r="G20" s="112">
        <v>25</v>
      </c>
      <c r="H20" s="116">
        <v>0.83333333333333304</v>
      </c>
      <c r="I20" s="114">
        <v>25</v>
      </c>
    </row>
    <row r="21" spans="2:9">
      <c r="B21" s="107">
        <v>1200</v>
      </c>
      <c r="C21" s="115">
        <v>100</v>
      </c>
      <c r="D21" s="109">
        <v>100</v>
      </c>
      <c r="E21" s="110" t="s">
        <v>32</v>
      </c>
      <c r="F21" s="115">
        <v>0</v>
      </c>
      <c r="G21" s="112">
        <v>50</v>
      </c>
      <c r="H21" s="116">
        <v>5.4166666666666696</v>
      </c>
      <c r="I21" s="114">
        <v>50</v>
      </c>
    </row>
    <row r="22" spans="2:9">
      <c r="B22" s="107">
        <v>0</v>
      </c>
      <c r="C22" s="115">
        <v>0</v>
      </c>
      <c r="D22" s="109">
        <v>50</v>
      </c>
      <c r="E22" s="110" t="s">
        <v>33</v>
      </c>
      <c r="F22" s="115">
        <v>0</v>
      </c>
      <c r="G22" s="112">
        <v>0</v>
      </c>
      <c r="H22" s="116">
        <v>36.6666666666667</v>
      </c>
      <c r="I22" s="114">
        <v>0</v>
      </c>
    </row>
    <row r="23" spans="2:9">
      <c r="B23" s="107">
        <v>310</v>
      </c>
      <c r="C23" s="115">
        <v>25</v>
      </c>
      <c r="D23" s="109">
        <v>15</v>
      </c>
      <c r="E23" s="110" t="s">
        <v>34</v>
      </c>
      <c r="F23" s="115">
        <v>15</v>
      </c>
      <c r="G23" s="112">
        <v>10</v>
      </c>
      <c r="H23" s="116">
        <v>30.4166666666667</v>
      </c>
      <c r="I23" s="114">
        <v>10</v>
      </c>
    </row>
    <row r="24" spans="2:9">
      <c r="B24" s="107">
        <v>570</v>
      </c>
      <c r="C24" s="115">
        <v>45</v>
      </c>
      <c r="D24" s="109">
        <v>50</v>
      </c>
      <c r="E24" s="110" t="s">
        <v>35</v>
      </c>
      <c r="F24" s="115">
        <v>0</v>
      </c>
      <c r="G24" s="112">
        <v>25</v>
      </c>
      <c r="H24" s="116">
        <v>110.416666666667</v>
      </c>
      <c r="I24" s="114">
        <v>120</v>
      </c>
    </row>
    <row r="25" spans="2:9">
      <c r="B25" s="107">
        <v>300</v>
      </c>
      <c r="C25" s="115">
        <v>25</v>
      </c>
      <c r="D25" s="109">
        <v>25</v>
      </c>
      <c r="E25" s="110" t="s">
        <v>36</v>
      </c>
      <c r="F25" s="115">
        <v>80</v>
      </c>
      <c r="G25" s="112">
        <v>60</v>
      </c>
      <c r="H25" s="116">
        <v>12.0833333333333</v>
      </c>
      <c r="I25" s="114">
        <v>0</v>
      </c>
    </row>
    <row r="26" spans="2:9">
      <c r="B26" s="107">
        <v>30</v>
      </c>
      <c r="C26" s="115">
        <v>5</v>
      </c>
      <c r="D26" s="109">
        <v>5</v>
      </c>
      <c r="E26" s="110" t="s">
        <v>37</v>
      </c>
      <c r="F26" s="115">
        <v>0</v>
      </c>
      <c r="G26" s="112">
        <v>0</v>
      </c>
      <c r="H26" s="116">
        <v>0</v>
      </c>
      <c r="I26" s="114">
        <v>0</v>
      </c>
    </row>
    <row r="27" spans="2:9">
      <c r="B27" s="107">
        <v>1700</v>
      </c>
      <c r="C27" s="108">
        <v>125</v>
      </c>
      <c r="D27" s="109">
        <v>100</v>
      </c>
      <c r="E27" s="110" t="s">
        <v>849</v>
      </c>
      <c r="F27" s="115">
        <v>0</v>
      </c>
      <c r="G27" s="112">
        <v>25</v>
      </c>
      <c r="H27" s="116">
        <v>0</v>
      </c>
      <c r="I27" s="114">
        <v>30</v>
      </c>
    </row>
    <row r="28" spans="2:9">
      <c r="B28" s="107">
        <v>360</v>
      </c>
      <c r="C28" s="115">
        <v>30</v>
      </c>
      <c r="D28" s="109">
        <v>15</v>
      </c>
      <c r="E28" s="110" t="s">
        <v>39</v>
      </c>
      <c r="F28" s="115">
        <v>25</v>
      </c>
      <c r="G28" s="112">
        <v>15</v>
      </c>
      <c r="H28" s="116">
        <v>43.3333333333333</v>
      </c>
      <c r="I28" s="114">
        <v>15</v>
      </c>
    </row>
    <row r="29" spans="2:9">
      <c r="B29" s="107">
        <v>800</v>
      </c>
      <c r="C29" s="115">
        <v>75</v>
      </c>
      <c r="D29" s="109">
        <v>75</v>
      </c>
      <c r="E29" s="110" t="s">
        <v>40</v>
      </c>
      <c r="F29" s="115">
        <v>0</v>
      </c>
      <c r="G29" s="112">
        <v>50</v>
      </c>
      <c r="H29" s="116">
        <v>22.9166666666667</v>
      </c>
      <c r="I29" s="114">
        <v>0</v>
      </c>
    </row>
    <row r="30" spans="2:9">
      <c r="B30" s="107">
        <v>1685</v>
      </c>
      <c r="C30" s="108">
        <v>150</v>
      </c>
      <c r="D30" s="109">
        <v>25</v>
      </c>
      <c r="E30" s="110" t="s">
        <v>850</v>
      </c>
      <c r="F30" s="115">
        <v>0</v>
      </c>
      <c r="G30" s="112">
        <v>15</v>
      </c>
      <c r="H30" s="113">
        <v>0.41666666666666702</v>
      </c>
      <c r="I30" s="114">
        <v>0</v>
      </c>
    </row>
    <row r="31" spans="2:9">
      <c r="B31" s="107">
        <v>225</v>
      </c>
      <c r="C31" s="115">
        <v>25</v>
      </c>
      <c r="D31" s="109">
        <v>15</v>
      </c>
      <c r="E31" s="110" t="s">
        <v>851</v>
      </c>
      <c r="F31" s="115">
        <v>0</v>
      </c>
      <c r="G31" s="112">
        <v>0</v>
      </c>
      <c r="H31" s="116">
        <v>0</v>
      </c>
      <c r="I31" s="114">
        <v>0</v>
      </c>
    </row>
    <row r="32" spans="2:9">
      <c r="B32" s="107">
        <v>1900</v>
      </c>
      <c r="C32" s="119">
        <v>150</v>
      </c>
      <c r="D32" s="120">
        <v>50</v>
      </c>
      <c r="E32" s="121" t="s">
        <v>98</v>
      </c>
      <c r="F32" s="122">
        <v>0</v>
      </c>
      <c r="G32" s="123">
        <v>50</v>
      </c>
      <c r="H32" s="116">
        <v>374.58333333333297</v>
      </c>
      <c r="I32" s="114">
        <v>0</v>
      </c>
    </row>
    <row r="33" spans="2:14">
      <c r="E33" s="124" t="s">
        <v>852</v>
      </c>
      <c r="F33" s="552">
        <f>SUM(F4:F32)</f>
        <v>1035</v>
      </c>
      <c r="G33" s="553">
        <f>SUM(G4:G32)</f>
        <v>1070</v>
      </c>
      <c r="H33" s="125"/>
      <c r="I33" s="554">
        <f>SUM(I4:I32)</f>
        <v>970</v>
      </c>
    </row>
    <row r="34" spans="2:14">
      <c r="E34" s="124" t="s">
        <v>853</v>
      </c>
      <c r="F34" s="70">
        <f>D39-F33</f>
        <v>1015</v>
      </c>
      <c r="G34" s="70">
        <f>D39-G33</f>
        <v>980</v>
      </c>
      <c r="H34" s="125"/>
      <c r="I34" s="70">
        <f>D39-I33</f>
        <v>1080</v>
      </c>
    </row>
    <row r="35" spans="2:14" ht="16" customHeight="1">
      <c r="C35" s="126" t="s">
        <v>854</v>
      </c>
      <c r="D35" s="70">
        <f>SUM(B4:B33)</f>
        <v>27757</v>
      </c>
      <c r="E35" s="972" t="s">
        <v>293</v>
      </c>
      <c r="G35" s="127" t="s">
        <v>855</v>
      </c>
      <c r="H35" s="128">
        <f>SUM(H4:H32)</f>
        <v>1359.5833333333333</v>
      </c>
    </row>
    <row r="36" spans="2:14" ht="16" customHeight="1">
      <c r="C36" s="126" t="s">
        <v>856</v>
      </c>
      <c r="D36" s="70">
        <f>SUM(C4:C33)</f>
        <v>2382</v>
      </c>
      <c r="E36" s="70">
        <v>2050</v>
      </c>
      <c r="G36" s="127" t="s">
        <v>857</v>
      </c>
      <c r="H36" s="128">
        <f>D39-H35</f>
        <v>690.41666666666674</v>
      </c>
      <c r="L36">
        <f>37000/12</f>
        <v>3083.3333333333335</v>
      </c>
    </row>
    <row r="37" spans="2:14">
      <c r="C37" s="126" t="s">
        <v>858</v>
      </c>
      <c r="D37" s="70">
        <f>SUM(D4:D32)</f>
        <v>1862</v>
      </c>
      <c r="E37" s="70">
        <v>1750</v>
      </c>
    </row>
    <row r="39" spans="2:14" ht="16" customHeight="1">
      <c r="C39" s="126" t="s">
        <v>859</v>
      </c>
      <c r="D39" s="129">
        <v>2050</v>
      </c>
    </row>
    <row r="41" spans="2:14">
      <c r="B41" s="130"/>
      <c r="C41" s="131"/>
      <c r="D41" s="131"/>
      <c r="E41" s="131"/>
      <c r="F41" s="131"/>
      <c r="G41" s="131"/>
      <c r="H41" s="132"/>
      <c r="I41" s="131"/>
      <c r="J41" s="131"/>
      <c r="K41" s="131"/>
      <c r="L41" s="131"/>
      <c r="M41" s="131"/>
      <c r="N41" s="131"/>
    </row>
    <row r="42" spans="2:14" ht="18" customHeight="1">
      <c r="B42" s="133" t="s">
        <v>860</v>
      </c>
    </row>
    <row r="43" spans="2:14" ht="7.5" customHeight="1" thickBot="1"/>
    <row r="44" spans="2:14" ht="17" customHeight="1" thickBot="1">
      <c r="B44" s="134" t="s">
        <v>861</v>
      </c>
      <c r="C44" s="135"/>
      <c r="D44" s="136">
        <v>2500</v>
      </c>
      <c r="F44" s="134" t="s">
        <v>861</v>
      </c>
      <c r="G44" s="135"/>
      <c r="H44" s="136">
        <v>2000</v>
      </c>
      <c r="J44" s="134" t="s">
        <v>861</v>
      </c>
      <c r="K44" s="135"/>
      <c r="L44" s="136">
        <v>3000</v>
      </c>
    </row>
    <row r="45" spans="2:14">
      <c r="D45" s="72"/>
      <c r="F45" s="72"/>
      <c r="H45" s="72"/>
      <c r="J45" s="72"/>
      <c r="L45" s="72" t="s">
        <v>862</v>
      </c>
    </row>
    <row r="46" spans="2:14">
      <c r="B46" s="72" t="s">
        <v>131</v>
      </c>
      <c r="D46" s="72">
        <v>75</v>
      </c>
      <c r="F46" s="72" t="s">
        <v>131</v>
      </c>
      <c r="H46" s="72">
        <v>75</v>
      </c>
      <c r="J46" s="72" t="s">
        <v>131</v>
      </c>
      <c r="L46" s="72">
        <v>75</v>
      </c>
    </row>
    <row r="47" spans="2:14">
      <c r="B47" s="72" t="s">
        <v>257</v>
      </c>
      <c r="D47" s="72">
        <v>50</v>
      </c>
      <c r="F47" s="72" t="s">
        <v>257</v>
      </c>
      <c r="H47" s="72">
        <v>50</v>
      </c>
      <c r="J47" s="72" t="s">
        <v>257</v>
      </c>
      <c r="L47" s="72">
        <v>25</v>
      </c>
    </row>
    <row r="48" spans="2:14">
      <c r="B48" s="72" t="s">
        <v>863</v>
      </c>
      <c r="D48" s="72">
        <v>25</v>
      </c>
      <c r="F48" s="72" t="s">
        <v>863</v>
      </c>
      <c r="H48" s="72">
        <v>25</v>
      </c>
      <c r="J48" s="72" t="s">
        <v>864</v>
      </c>
      <c r="L48" s="72">
        <v>250</v>
      </c>
    </row>
    <row r="49" spans="2:13">
      <c r="B49" s="72" t="s">
        <v>844</v>
      </c>
      <c r="D49" s="72">
        <v>50</v>
      </c>
      <c r="F49" s="72" t="s">
        <v>844</v>
      </c>
      <c r="H49" s="72">
        <v>50</v>
      </c>
      <c r="J49" s="72" t="s">
        <v>844</v>
      </c>
      <c r="L49" s="72">
        <v>35</v>
      </c>
    </row>
    <row r="50" spans="2:13">
      <c r="B50" s="72" t="s">
        <v>255</v>
      </c>
      <c r="D50" s="72">
        <v>75</v>
      </c>
      <c r="F50" s="72" t="s">
        <v>255</v>
      </c>
      <c r="H50" s="72">
        <v>75</v>
      </c>
      <c r="J50" s="72" t="s">
        <v>255</v>
      </c>
      <c r="L50" s="72">
        <v>75</v>
      </c>
    </row>
    <row r="51" spans="2:13">
      <c r="B51" s="72" t="s">
        <v>865</v>
      </c>
      <c r="D51" s="72">
        <v>100</v>
      </c>
      <c r="F51" s="72" t="s">
        <v>865</v>
      </c>
      <c r="H51" s="72">
        <v>100</v>
      </c>
      <c r="J51" s="72" t="s">
        <v>865</v>
      </c>
      <c r="L51" s="72">
        <v>300</v>
      </c>
    </row>
    <row r="52" spans="2:13">
      <c r="B52" s="72" t="s">
        <v>137</v>
      </c>
      <c r="D52" s="72">
        <v>120</v>
      </c>
      <c r="F52" s="72" t="s">
        <v>137</v>
      </c>
      <c r="H52" s="72">
        <v>120</v>
      </c>
      <c r="J52" s="72" t="s">
        <v>866</v>
      </c>
      <c r="L52" s="72">
        <v>500</v>
      </c>
      <c r="M52" t="s">
        <v>867</v>
      </c>
    </row>
    <row r="53" spans="2:13">
      <c r="B53" s="72" t="s">
        <v>868</v>
      </c>
      <c r="D53" s="72">
        <v>125</v>
      </c>
      <c r="F53" s="72" t="s">
        <v>868</v>
      </c>
      <c r="H53" s="72">
        <v>125</v>
      </c>
      <c r="J53" s="72" t="s">
        <v>869</v>
      </c>
      <c r="L53" s="72">
        <v>125</v>
      </c>
    </row>
    <row r="54" spans="2:13">
      <c r="B54" s="72" t="s">
        <v>123</v>
      </c>
      <c r="D54" s="72">
        <v>75</v>
      </c>
      <c r="F54" s="72" t="s">
        <v>123</v>
      </c>
      <c r="H54" s="72">
        <v>75</v>
      </c>
      <c r="J54" s="72" t="s">
        <v>123</v>
      </c>
      <c r="L54" s="72">
        <v>150</v>
      </c>
    </row>
    <row r="55" spans="2:13">
      <c r="B55" s="72" t="s">
        <v>870</v>
      </c>
      <c r="D55" s="72">
        <v>200</v>
      </c>
      <c r="F55" s="72" t="s">
        <v>870</v>
      </c>
      <c r="H55" s="72">
        <v>200</v>
      </c>
      <c r="J55" s="72" t="s">
        <v>870</v>
      </c>
      <c r="L55" s="72">
        <v>150</v>
      </c>
    </row>
    <row r="56" spans="2:13">
      <c r="B56" s="72" t="s">
        <v>871</v>
      </c>
      <c r="D56" s="72">
        <v>100</v>
      </c>
      <c r="F56" s="72" t="s">
        <v>871</v>
      </c>
      <c r="H56" s="72">
        <v>100</v>
      </c>
      <c r="J56" s="72" t="s">
        <v>45</v>
      </c>
      <c r="L56" s="72">
        <v>100</v>
      </c>
    </row>
    <row r="57" spans="2:13">
      <c r="D57" s="72"/>
      <c r="F57" s="72"/>
      <c r="H57" s="72"/>
      <c r="J57" s="72" t="s">
        <v>127</v>
      </c>
      <c r="L57" s="72">
        <v>50</v>
      </c>
    </row>
    <row r="58" spans="2:13">
      <c r="D58" s="72"/>
      <c r="F58" s="72"/>
      <c r="H58" s="72"/>
      <c r="J58" s="72" t="s">
        <v>872</v>
      </c>
      <c r="L58" s="72">
        <v>250</v>
      </c>
    </row>
    <row r="59" spans="2:13">
      <c r="D59" s="72"/>
      <c r="F59" s="72"/>
      <c r="H59" s="72"/>
      <c r="J59" s="72"/>
      <c r="L59" s="72"/>
    </row>
    <row r="60" spans="2:13" ht="14" customHeight="1" thickBot="1">
      <c r="D60" s="72"/>
      <c r="F60" s="72"/>
      <c r="H60" s="72"/>
      <c r="J60" s="72"/>
      <c r="L60" s="72"/>
    </row>
    <row r="61" spans="2:13" ht="14" customHeight="1" thickBot="1">
      <c r="B61" s="137" t="s">
        <v>873</v>
      </c>
      <c r="C61" s="138"/>
      <c r="D61" s="139">
        <f>SUM(D46:D57)</f>
        <v>995</v>
      </c>
      <c r="F61" s="137" t="s">
        <v>873</v>
      </c>
      <c r="G61" s="138"/>
      <c r="H61" s="139">
        <f>SUM(H46:H57)</f>
        <v>995</v>
      </c>
      <c r="J61" s="137" t="s">
        <v>873</v>
      </c>
      <c r="K61" s="138"/>
      <c r="L61" s="139">
        <f>SUM(L46:L59)</f>
        <v>2085</v>
      </c>
    </row>
    <row r="62" spans="2:13">
      <c r="D62" s="72"/>
      <c r="F62" s="72"/>
      <c r="H62" s="72"/>
      <c r="J62" s="72"/>
      <c r="L62" s="72"/>
    </row>
    <row r="63" spans="2:13">
      <c r="B63" s="72" t="s">
        <v>874</v>
      </c>
      <c r="D63" s="72">
        <v>725</v>
      </c>
      <c r="F63" s="72" t="s">
        <v>874</v>
      </c>
      <c r="H63" s="72">
        <v>725</v>
      </c>
      <c r="J63" s="72" t="s">
        <v>874</v>
      </c>
      <c r="L63" s="72">
        <v>875</v>
      </c>
    </row>
    <row r="64" spans="2:13" ht="14" customHeight="1" thickBot="1">
      <c r="D64" s="72"/>
      <c r="F64" s="72"/>
      <c r="H64" s="72"/>
      <c r="J64" s="72"/>
      <c r="L64" s="72"/>
    </row>
    <row r="65" spans="2:14">
      <c r="B65" s="140" t="s">
        <v>875</v>
      </c>
      <c r="C65" s="141"/>
      <c r="D65" s="142">
        <f>D63+D61</f>
        <v>1720</v>
      </c>
      <c r="F65" s="140" t="s">
        <v>875</v>
      </c>
      <c r="G65" s="141"/>
      <c r="H65" s="142">
        <f>H63+H61</f>
        <v>1720</v>
      </c>
      <c r="J65" s="140" t="s">
        <v>875</v>
      </c>
      <c r="K65" s="141"/>
      <c r="L65" s="142">
        <f>L63+L61</f>
        <v>2960</v>
      </c>
    </row>
    <row r="66" spans="2:14" ht="17" customHeight="1" thickBot="1">
      <c r="B66" s="143" t="s">
        <v>876</v>
      </c>
      <c r="C66" s="144"/>
      <c r="D66" s="145">
        <f>D44-D65</f>
        <v>780</v>
      </c>
      <c r="F66" s="143" t="s">
        <v>876</v>
      </c>
      <c r="G66" s="144"/>
      <c r="H66" s="145">
        <f>H44-H65</f>
        <v>280</v>
      </c>
      <c r="J66" s="143" t="s">
        <v>876</v>
      </c>
      <c r="K66" s="144"/>
      <c r="L66" s="145">
        <f>L44-L65</f>
        <v>40</v>
      </c>
    </row>
    <row r="69" spans="2:14">
      <c r="B69" s="130"/>
      <c r="C69" s="131"/>
      <c r="D69" s="131"/>
      <c r="E69" s="131"/>
      <c r="F69" s="131"/>
      <c r="G69" s="131"/>
      <c r="H69" s="132"/>
      <c r="I69" s="131"/>
      <c r="J69" s="131"/>
      <c r="K69" s="131"/>
      <c r="L69" s="131"/>
      <c r="M69" s="131"/>
      <c r="N69" s="131"/>
    </row>
    <row r="70" spans="2:14" ht="20" customHeight="1">
      <c r="B70" s="146" t="s">
        <v>877</v>
      </c>
    </row>
    <row r="71" spans="2:14" s="73" customFormat="1" ht="12" customHeight="1">
      <c r="B71" s="147"/>
      <c r="H71" s="148"/>
    </row>
    <row r="72" spans="2:14">
      <c r="D72" s="126" t="s">
        <v>878</v>
      </c>
      <c r="E72" s="126" t="s">
        <v>879</v>
      </c>
      <c r="F72" s="973" t="s">
        <v>880</v>
      </c>
      <c r="G72" s="126" t="s">
        <v>881</v>
      </c>
      <c r="H72" s="972" t="s">
        <v>882</v>
      </c>
      <c r="I72" s="126" t="s">
        <v>883</v>
      </c>
      <c r="J72" s="972" t="s">
        <v>884</v>
      </c>
      <c r="K72" s="126" t="s">
        <v>885</v>
      </c>
      <c r="L72" s="972" t="s">
        <v>886</v>
      </c>
      <c r="M72" s="126" t="s">
        <v>887</v>
      </c>
    </row>
    <row r="73" spans="2:14" ht="16" customHeight="1">
      <c r="C73" s="149" t="s">
        <v>888</v>
      </c>
      <c r="D73" s="150">
        <v>2000</v>
      </c>
      <c r="E73" s="151">
        <v>2100</v>
      </c>
      <c r="F73" s="151">
        <v>3500</v>
      </c>
      <c r="G73" s="151">
        <v>2100</v>
      </c>
      <c r="H73" s="151">
        <v>1700</v>
      </c>
      <c r="I73" s="151">
        <v>1750</v>
      </c>
      <c r="J73" s="151">
        <v>1675</v>
      </c>
      <c r="K73" s="151">
        <v>2275</v>
      </c>
      <c r="L73" s="151">
        <v>2050</v>
      </c>
      <c r="M73" s="151">
        <v>2000</v>
      </c>
    </row>
    <row r="74" spans="2:14" ht="6" customHeight="1">
      <c r="C74" s="126"/>
      <c r="H74" s="126"/>
    </row>
    <row r="75" spans="2:14">
      <c r="C75" s="126" t="s">
        <v>889</v>
      </c>
      <c r="D75" s="152">
        <v>200</v>
      </c>
      <c r="E75" s="152">
        <v>205</v>
      </c>
      <c r="F75" s="152">
        <v>50</v>
      </c>
      <c r="G75" s="152">
        <v>60</v>
      </c>
      <c r="H75" s="153">
        <v>60</v>
      </c>
      <c r="I75" s="153">
        <v>60</v>
      </c>
      <c r="J75" s="153">
        <v>60</v>
      </c>
      <c r="K75" s="153">
        <v>55</v>
      </c>
      <c r="L75" s="153">
        <v>55</v>
      </c>
      <c r="M75" s="153">
        <v>55</v>
      </c>
    </row>
    <row r="76" spans="2:14">
      <c r="C76" s="126" t="s">
        <v>890</v>
      </c>
      <c r="D76" s="154">
        <v>50</v>
      </c>
      <c r="E76" s="154">
        <v>50</v>
      </c>
      <c r="F76" s="154">
        <v>40</v>
      </c>
      <c r="G76" s="154">
        <v>40</v>
      </c>
      <c r="H76" s="155">
        <v>40</v>
      </c>
      <c r="I76" s="155">
        <v>75</v>
      </c>
      <c r="J76" s="155">
        <v>40</v>
      </c>
      <c r="K76" s="155">
        <v>50</v>
      </c>
      <c r="L76" s="155">
        <v>100</v>
      </c>
      <c r="M76" s="155">
        <v>30</v>
      </c>
    </row>
    <row r="77" spans="2:14">
      <c r="C77" s="126" t="s">
        <v>891</v>
      </c>
      <c r="D77" s="154">
        <v>100</v>
      </c>
      <c r="E77" s="154">
        <v>50</v>
      </c>
      <c r="F77" s="154">
        <v>50</v>
      </c>
      <c r="G77" s="154">
        <v>50</v>
      </c>
      <c r="H77" s="155">
        <v>50</v>
      </c>
      <c r="I77" s="155">
        <v>25</v>
      </c>
      <c r="J77" s="155">
        <v>25</v>
      </c>
      <c r="K77" s="155">
        <v>25</v>
      </c>
      <c r="L77" s="155">
        <v>25</v>
      </c>
      <c r="M77" s="155">
        <v>0</v>
      </c>
    </row>
    <row r="78" spans="2:14">
      <c r="C78" s="126" t="s">
        <v>892</v>
      </c>
      <c r="D78" s="154">
        <v>100</v>
      </c>
      <c r="E78" s="154">
        <v>75</v>
      </c>
      <c r="F78" s="154">
        <v>75</v>
      </c>
      <c r="G78" s="154">
        <v>150</v>
      </c>
      <c r="H78" s="155">
        <v>100</v>
      </c>
      <c r="I78" s="155">
        <v>100</v>
      </c>
      <c r="J78" s="155">
        <v>60</v>
      </c>
      <c r="K78" s="155">
        <v>50</v>
      </c>
      <c r="L78" s="155">
        <v>50</v>
      </c>
      <c r="M78" s="155">
        <v>25</v>
      </c>
    </row>
    <row r="79" spans="2:14">
      <c r="C79" s="126" t="s">
        <v>893</v>
      </c>
      <c r="D79" s="154">
        <v>100</v>
      </c>
      <c r="E79" s="154">
        <v>50</v>
      </c>
      <c r="F79" s="154">
        <v>0</v>
      </c>
      <c r="G79" s="154">
        <v>50</v>
      </c>
      <c r="H79" s="155">
        <v>30</v>
      </c>
      <c r="I79" s="155">
        <v>0</v>
      </c>
      <c r="J79" s="155">
        <v>0</v>
      </c>
      <c r="K79" s="155">
        <v>0</v>
      </c>
      <c r="L79" s="155">
        <v>0</v>
      </c>
      <c r="M79" s="155">
        <v>0</v>
      </c>
    </row>
    <row r="80" spans="2:14">
      <c r="C80" s="126" t="s">
        <v>894</v>
      </c>
      <c r="D80" s="154">
        <v>50</v>
      </c>
      <c r="E80" s="154">
        <v>50</v>
      </c>
      <c r="F80" s="154">
        <v>40</v>
      </c>
      <c r="G80" s="154">
        <v>40</v>
      </c>
      <c r="H80" s="155">
        <v>40</v>
      </c>
      <c r="I80" s="155">
        <v>40</v>
      </c>
      <c r="J80" s="155">
        <v>40</v>
      </c>
      <c r="K80" s="155">
        <v>40</v>
      </c>
      <c r="L80" s="155">
        <v>50</v>
      </c>
      <c r="M80" s="155">
        <v>40</v>
      </c>
    </row>
    <row r="81" spans="2:14">
      <c r="C81" s="126" t="s">
        <v>895</v>
      </c>
      <c r="D81" s="154">
        <v>200</v>
      </c>
      <c r="E81" s="154">
        <v>200</v>
      </c>
      <c r="F81" s="154">
        <v>200</v>
      </c>
      <c r="G81" s="154">
        <v>250</v>
      </c>
      <c r="H81" s="155">
        <v>250</v>
      </c>
      <c r="I81" s="155">
        <v>250</v>
      </c>
      <c r="J81" s="155">
        <v>125</v>
      </c>
      <c r="K81" s="155">
        <v>125</v>
      </c>
      <c r="L81" s="155">
        <v>125</v>
      </c>
      <c r="M81" s="155">
        <v>125</v>
      </c>
    </row>
    <row r="82" spans="2:14">
      <c r="C82" s="126" t="s">
        <v>868</v>
      </c>
      <c r="D82" s="154">
        <v>50</v>
      </c>
      <c r="E82" s="154">
        <v>50</v>
      </c>
      <c r="F82" s="154">
        <v>50</v>
      </c>
      <c r="G82" s="154">
        <v>75</v>
      </c>
      <c r="H82" s="155">
        <v>75</v>
      </c>
      <c r="I82" s="155">
        <v>75</v>
      </c>
      <c r="J82" s="155">
        <v>100</v>
      </c>
      <c r="K82" s="155">
        <v>150</v>
      </c>
      <c r="L82" s="155">
        <v>175</v>
      </c>
      <c r="M82" s="155">
        <v>175</v>
      </c>
    </row>
    <row r="83" spans="2:14">
      <c r="C83" s="126" t="s">
        <v>896</v>
      </c>
      <c r="D83" s="154">
        <v>200</v>
      </c>
      <c r="E83" s="154">
        <v>250</v>
      </c>
      <c r="F83" s="154">
        <v>250</v>
      </c>
      <c r="G83" s="154">
        <v>150</v>
      </c>
      <c r="H83" s="155">
        <v>200</v>
      </c>
      <c r="I83" s="155">
        <v>250</v>
      </c>
      <c r="J83" s="155">
        <v>200</v>
      </c>
      <c r="K83" s="155">
        <v>125</v>
      </c>
      <c r="L83" s="155">
        <v>125</v>
      </c>
      <c r="M83" s="155">
        <v>150</v>
      </c>
    </row>
    <row r="84" spans="2:14">
      <c r="C84" s="126" t="s">
        <v>897</v>
      </c>
      <c r="D84" s="156">
        <v>0</v>
      </c>
      <c r="E84" s="156">
        <v>0</v>
      </c>
      <c r="F84" s="156">
        <v>300</v>
      </c>
      <c r="G84" s="156">
        <v>0</v>
      </c>
      <c r="H84" s="157">
        <v>0</v>
      </c>
      <c r="I84" s="157">
        <v>0</v>
      </c>
      <c r="J84" s="157">
        <v>0</v>
      </c>
      <c r="K84" s="157">
        <v>0</v>
      </c>
      <c r="L84" s="157">
        <v>0</v>
      </c>
      <c r="M84" s="157">
        <v>0</v>
      </c>
    </row>
    <row r="85" spans="2:14">
      <c r="C85" s="126"/>
    </row>
    <row r="86" spans="2:14">
      <c r="C86" s="126" t="s">
        <v>873</v>
      </c>
      <c r="D86" s="158">
        <f t="shared" ref="D86:M86" si="0">SUM(D75:D85)</f>
        <v>1050</v>
      </c>
      <c r="E86" s="158">
        <f t="shared" si="0"/>
        <v>980</v>
      </c>
      <c r="F86" s="158">
        <f t="shared" si="0"/>
        <v>1055</v>
      </c>
      <c r="G86" s="158">
        <f t="shared" si="0"/>
        <v>865</v>
      </c>
      <c r="H86" s="158">
        <f t="shared" si="0"/>
        <v>845</v>
      </c>
      <c r="I86" s="158">
        <f t="shared" si="0"/>
        <v>875</v>
      </c>
      <c r="J86" s="158">
        <f t="shared" si="0"/>
        <v>650</v>
      </c>
      <c r="K86" s="158">
        <f t="shared" si="0"/>
        <v>620</v>
      </c>
      <c r="L86" s="158">
        <f t="shared" si="0"/>
        <v>705</v>
      </c>
      <c r="M86" s="158">
        <f t="shared" si="0"/>
        <v>600</v>
      </c>
    </row>
    <row r="88" spans="2:14">
      <c r="C88" s="126" t="s">
        <v>874</v>
      </c>
      <c r="D88" s="70">
        <v>610</v>
      </c>
      <c r="E88" s="70">
        <v>610</v>
      </c>
      <c r="F88" s="70">
        <v>610</v>
      </c>
      <c r="G88" s="70">
        <v>700</v>
      </c>
      <c r="H88" s="70">
        <v>725</v>
      </c>
      <c r="I88" s="70">
        <v>725</v>
      </c>
      <c r="J88" s="70">
        <v>725</v>
      </c>
      <c r="K88" s="70">
        <v>725</v>
      </c>
      <c r="L88" s="70">
        <v>725</v>
      </c>
      <c r="M88" s="70">
        <v>740</v>
      </c>
    </row>
    <row r="90" spans="2:14">
      <c r="B90" s="159"/>
      <c r="C90" s="160" t="s">
        <v>875</v>
      </c>
      <c r="D90" s="161">
        <f t="shared" ref="D90:M90" si="1">SUM(D86:D89)</f>
        <v>1660</v>
      </c>
      <c r="E90" s="161">
        <f t="shared" si="1"/>
        <v>1590</v>
      </c>
      <c r="F90" s="161">
        <f t="shared" si="1"/>
        <v>1665</v>
      </c>
      <c r="G90" s="161">
        <f t="shared" si="1"/>
        <v>1565</v>
      </c>
      <c r="H90" s="161">
        <f t="shared" si="1"/>
        <v>1570</v>
      </c>
      <c r="I90" s="161">
        <f t="shared" si="1"/>
        <v>1600</v>
      </c>
      <c r="J90" s="161">
        <f t="shared" si="1"/>
        <v>1375</v>
      </c>
      <c r="K90" s="161">
        <f t="shared" si="1"/>
        <v>1345</v>
      </c>
      <c r="L90" s="161">
        <f t="shared" si="1"/>
        <v>1430</v>
      </c>
      <c r="M90" s="161">
        <f t="shared" si="1"/>
        <v>1340</v>
      </c>
    </row>
    <row r="91" spans="2:14">
      <c r="B91" s="162"/>
      <c r="C91" s="163" t="s">
        <v>876</v>
      </c>
      <c r="D91" s="164">
        <f t="shared" ref="D91:M91" si="2">D73-D90</f>
        <v>340</v>
      </c>
      <c r="E91" s="164">
        <f t="shared" si="2"/>
        <v>510</v>
      </c>
      <c r="F91" s="164">
        <f t="shared" si="2"/>
        <v>1835</v>
      </c>
      <c r="G91" s="164">
        <f t="shared" si="2"/>
        <v>535</v>
      </c>
      <c r="H91" s="164">
        <f t="shared" si="2"/>
        <v>130</v>
      </c>
      <c r="I91" s="164">
        <f t="shared" si="2"/>
        <v>150</v>
      </c>
      <c r="J91" s="164">
        <f t="shared" si="2"/>
        <v>300</v>
      </c>
      <c r="K91" s="164">
        <f t="shared" si="2"/>
        <v>930</v>
      </c>
      <c r="L91" s="164">
        <f t="shared" si="2"/>
        <v>620</v>
      </c>
      <c r="M91" s="164">
        <f t="shared" si="2"/>
        <v>660</v>
      </c>
    </row>
    <row r="94" spans="2:14">
      <c r="B94" s="130"/>
      <c r="C94" s="131"/>
      <c r="D94" s="131"/>
      <c r="E94" s="131"/>
      <c r="F94" s="131"/>
      <c r="G94" s="131"/>
      <c r="H94" s="132"/>
      <c r="I94" s="131"/>
      <c r="J94" s="131"/>
      <c r="K94" s="131"/>
      <c r="L94" s="131"/>
      <c r="M94" s="131"/>
      <c r="N94" s="131"/>
    </row>
    <row r="95" spans="2:14" ht="20" customHeight="1">
      <c r="B95" s="146" t="s">
        <v>898</v>
      </c>
      <c r="F95" s="146" t="s">
        <v>899</v>
      </c>
    </row>
    <row r="96" spans="2:14">
      <c r="C96" s="126" t="s">
        <v>900</v>
      </c>
      <c r="D96" s="70">
        <v>750</v>
      </c>
      <c r="G96" s="126" t="s">
        <v>900</v>
      </c>
      <c r="H96" s="70">
        <v>800</v>
      </c>
      <c r="I96" s="72" t="s">
        <v>901</v>
      </c>
    </row>
    <row r="97" spans="2:12">
      <c r="C97" s="126" t="s">
        <v>902</v>
      </c>
      <c r="D97" s="70">
        <f>D96*2</f>
        <v>1500</v>
      </c>
      <c r="G97" s="126" t="s">
        <v>903</v>
      </c>
      <c r="H97" s="150">
        <v>15000</v>
      </c>
      <c r="I97" s="72" t="s">
        <v>904</v>
      </c>
    </row>
    <row r="98" spans="2:12">
      <c r="C98" s="126" t="s">
        <v>905</v>
      </c>
      <c r="D98" s="70">
        <f>D96*2</f>
        <v>1500</v>
      </c>
      <c r="E98" s="70" t="s">
        <v>906</v>
      </c>
      <c r="G98" s="126" t="s">
        <v>905</v>
      </c>
      <c r="H98" s="70">
        <v>1500</v>
      </c>
      <c r="I98" s="165"/>
    </row>
    <row r="99" spans="2:12">
      <c r="C99" s="126" t="s">
        <v>907</v>
      </c>
      <c r="D99" s="70">
        <v>750</v>
      </c>
      <c r="G99" s="126" t="s">
        <v>907</v>
      </c>
      <c r="I99" s="165"/>
    </row>
    <row r="100" spans="2:12">
      <c r="C100" s="126" t="s">
        <v>908</v>
      </c>
      <c r="D100" s="70">
        <v>125</v>
      </c>
      <c r="G100" s="126" t="s">
        <v>908</v>
      </c>
      <c r="I100" s="165"/>
    </row>
    <row r="101" spans="2:12">
      <c r="C101" s="126" t="s">
        <v>909</v>
      </c>
      <c r="D101" s="70">
        <v>1000</v>
      </c>
      <c r="E101" s="70" t="s">
        <v>910</v>
      </c>
      <c r="G101" s="126" t="s">
        <v>909</v>
      </c>
      <c r="H101" s="70">
        <v>1000</v>
      </c>
      <c r="I101" s="165"/>
    </row>
    <row r="102" spans="2:12">
      <c r="C102" s="126" t="s">
        <v>911</v>
      </c>
      <c r="D102" s="70">
        <v>1000</v>
      </c>
      <c r="G102" s="126" t="s">
        <v>911</v>
      </c>
      <c r="H102" s="70">
        <v>1000</v>
      </c>
      <c r="I102" s="165"/>
    </row>
    <row r="103" spans="2:12">
      <c r="C103" s="126" t="s">
        <v>912</v>
      </c>
      <c r="D103" s="70">
        <v>750</v>
      </c>
      <c r="G103" s="126" t="s">
        <v>913</v>
      </c>
      <c r="H103" s="70">
        <v>750</v>
      </c>
      <c r="I103" s="165"/>
    </row>
    <row r="104" spans="2:12">
      <c r="C104" s="126" t="s">
        <v>914</v>
      </c>
      <c r="D104" s="70">
        <v>625</v>
      </c>
      <c r="G104" s="126" t="s">
        <v>914</v>
      </c>
      <c r="H104" s="70">
        <v>950</v>
      </c>
      <c r="I104" s="165"/>
    </row>
    <row r="105" spans="2:12">
      <c r="C105" s="126"/>
      <c r="G105" s="126"/>
    </row>
    <row r="106" spans="2:12" ht="16" customHeight="1">
      <c r="C106" s="126" t="s">
        <v>86</v>
      </c>
      <c r="D106" s="166">
        <f>SUM(D96:D105)</f>
        <v>8000</v>
      </c>
      <c r="G106" s="126" t="s">
        <v>86</v>
      </c>
      <c r="H106" s="166">
        <f>SUM(H96:H105)</f>
        <v>21000</v>
      </c>
      <c r="I106" s="165"/>
    </row>
    <row r="107" spans="2:12">
      <c r="I107" s="165"/>
    </row>
    <row r="108" spans="2:12">
      <c r="B108" s="167"/>
      <c r="C108" s="168"/>
      <c r="D108" s="168"/>
      <c r="E108" s="168"/>
      <c r="F108" s="168"/>
      <c r="G108" s="168"/>
      <c r="H108" s="168"/>
      <c r="I108" s="169"/>
      <c r="J108" s="168"/>
      <c r="K108" s="168"/>
      <c r="L108" s="168"/>
    </row>
    <row r="109" spans="2:12">
      <c r="I109" s="165"/>
    </row>
    <row r="110" spans="2:12" ht="20" customHeight="1">
      <c r="B110" s="170" t="s">
        <v>915</v>
      </c>
      <c r="D110" s="165"/>
    </row>
    <row r="111" spans="2:12">
      <c r="B111" s="171" t="s">
        <v>177</v>
      </c>
      <c r="C111" s="171" t="s">
        <v>64</v>
      </c>
      <c r="D111" s="171" t="s">
        <v>916</v>
      </c>
      <c r="E111" s="172" t="s">
        <v>917</v>
      </c>
      <c r="F111" s="173" t="s">
        <v>918</v>
      </c>
      <c r="H111" s="171" t="s">
        <v>919</v>
      </c>
      <c r="I111" s="171" t="s">
        <v>86</v>
      </c>
    </row>
    <row r="112" spans="2:12">
      <c r="B112" s="174">
        <v>125000</v>
      </c>
      <c r="C112" s="175">
        <v>10</v>
      </c>
      <c r="D112" s="175">
        <v>2</v>
      </c>
      <c r="E112" s="176">
        <v>1150</v>
      </c>
      <c r="F112" s="165">
        <v>138000</v>
      </c>
      <c r="G112" s="177">
        <v>0.1</v>
      </c>
      <c r="H112" s="165">
        <v>130</v>
      </c>
      <c r="I112" s="70">
        <f t="shared" ref="I112:I127" si="3">H112+E112</f>
        <v>1280</v>
      </c>
    </row>
    <row r="113" spans="2:9">
      <c r="B113" s="174">
        <v>125000</v>
      </c>
      <c r="C113" s="175">
        <v>10</v>
      </c>
      <c r="D113" s="175" t="s">
        <v>920</v>
      </c>
      <c r="E113" s="176">
        <v>1180</v>
      </c>
      <c r="F113" s="165">
        <v>142000</v>
      </c>
      <c r="G113" s="177">
        <v>0.12</v>
      </c>
      <c r="H113" s="165">
        <v>130</v>
      </c>
      <c r="I113" s="70">
        <f t="shared" si="3"/>
        <v>1310</v>
      </c>
    </row>
    <row r="114" spans="2:9">
      <c r="B114" s="174">
        <v>125000</v>
      </c>
      <c r="C114" s="175">
        <v>10</v>
      </c>
      <c r="D114" s="175">
        <v>3</v>
      </c>
      <c r="E114" s="176">
        <v>1210</v>
      </c>
      <c r="F114" s="165">
        <v>145000</v>
      </c>
      <c r="G114" s="177">
        <v>0.14000000000000001</v>
      </c>
      <c r="H114" s="165">
        <v>130</v>
      </c>
      <c r="I114" s="70">
        <f t="shared" si="3"/>
        <v>1340</v>
      </c>
    </row>
    <row r="115" spans="2:9">
      <c r="B115" s="174">
        <v>125000</v>
      </c>
      <c r="C115" s="175">
        <v>15</v>
      </c>
      <c r="D115" s="175">
        <v>2</v>
      </c>
      <c r="E115" s="176">
        <v>805</v>
      </c>
      <c r="F115" s="165">
        <v>145000</v>
      </c>
      <c r="G115" s="177">
        <v>0.14000000000000001</v>
      </c>
      <c r="H115" s="165">
        <v>130</v>
      </c>
      <c r="I115" s="70">
        <f t="shared" si="3"/>
        <v>935</v>
      </c>
    </row>
    <row r="116" spans="2:9">
      <c r="B116" s="174">
        <v>125000</v>
      </c>
      <c r="C116" s="175">
        <v>15</v>
      </c>
      <c r="D116" s="175" t="s">
        <v>920</v>
      </c>
      <c r="E116" s="176">
        <v>835</v>
      </c>
      <c r="F116" s="165">
        <v>150000</v>
      </c>
      <c r="G116" s="177">
        <v>0.17</v>
      </c>
      <c r="H116" s="165">
        <v>130</v>
      </c>
      <c r="I116" s="70">
        <f t="shared" si="3"/>
        <v>965</v>
      </c>
    </row>
    <row r="117" spans="2:9">
      <c r="B117" s="174">
        <v>125000</v>
      </c>
      <c r="C117" s="175">
        <v>15</v>
      </c>
      <c r="D117" s="175">
        <v>3</v>
      </c>
      <c r="E117" s="176">
        <v>865</v>
      </c>
      <c r="F117" s="165">
        <v>155000</v>
      </c>
      <c r="G117" s="177">
        <v>0.2</v>
      </c>
      <c r="H117" s="165">
        <v>130</v>
      </c>
      <c r="I117" s="70">
        <f t="shared" si="3"/>
        <v>995</v>
      </c>
    </row>
    <row r="118" spans="2:9">
      <c r="B118" s="174">
        <v>125000</v>
      </c>
      <c r="C118" s="175">
        <v>20</v>
      </c>
      <c r="D118" s="175">
        <v>2</v>
      </c>
      <c r="E118" s="176">
        <v>632</v>
      </c>
      <c r="F118" s="165">
        <v>152000</v>
      </c>
      <c r="G118" s="177">
        <v>0.18</v>
      </c>
      <c r="H118" s="165">
        <v>130</v>
      </c>
      <c r="I118" s="70">
        <f t="shared" si="3"/>
        <v>762</v>
      </c>
    </row>
    <row r="119" spans="2:9">
      <c r="B119" s="174">
        <v>125000</v>
      </c>
      <c r="C119" s="175">
        <v>20</v>
      </c>
      <c r="D119" s="175" t="s">
        <v>920</v>
      </c>
      <c r="E119" s="176">
        <v>665</v>
      </c>
      <c r="F119" s="165">
        <v>160000</v>
      </c>
      <c r="G119" s="177">
        <v>0.22</v>
      </c>
      <c r="H119" s="165">
        <v>130</v>
      </c>
      <c r="I119" s="70">
        <f t="shared" si="3"/>
        <v>795</v>
      </c>
    </row>
    <row r="120" spans="2:9">
      <c r="B120" s="174">
        <v>125000</v>
      </c>
      <c r="C120" s="175">
        <v>20</v>
      </c>
      <c r="D120" s="175">
        <v>3</v>
      </c>
      <c r="E120" s="176">
        <v>695</v>
      </c>
      <c r="F120" s="165">
        <v>167000</v>
      </c>
      <c r="G120" s="177">
        <v>0.25</v>
      </c>
      <c r="H120" s="165">
        <v>130</v>
      </c>
      <c r="I120" s="70">
        <f t="shared" si="3"/>
        <v>825</v>
      </c>
    </row>
    <row r="121" spans="2:9">
      <c r="B121" s="174">
        <v>125000</v>
      </c>
      <c r="C121" s="175">
        <v>25</v>
      </c>
      <c r="D121" s="175">
        <v>2</v>
      </c>
      <c r="E121" s="176">
        <v>530</v>
      </c>
      <c r="F121" s="165">
        <v>160000</v>
      </c>
      <c r="G121" s="177">
        <v>0.22</v>
      </c>
      <c r="H121" s="165">
        <v>130</v>
      </c>
      <c r="I121" s="70">
        <f t="shared" si="3"/>
        <v>660</v>
      </c>
    </row>
    <row r="122" spans="2:9">
      <c r="B122" s="174">
        <v>125000</v>
      </c>
      <c r="C122" s="175">
        <v>25</v>
      </c>
      <c r="D122" s="175" t="s">
        <v>920</v>
      </c>
      <c r="E122" s="176">
        <v>560</v>
      </c>
      <c r="F122" s="165">
        <v>168000</v>
      </c>
      <c r="G122" s="177">
        <v>0.26</v>
      </c>
      <c r="H122" s="165">
        <v>130</v>
      </c>
      <c r="I122" s="70">
        <f t="shared" si="3"/>
        <v>690</v>
      </c>
    </row>
    <row r="123" spans="2:9">
      <c r="B123" s="174">
        <v>125000</v>
      </c>
      <c r="C123" s="175">
        <v>25</v>
      </c>
      <c r="D123" s="175">
        <v>3</v>
      </c>
      <c r="E123" s="176">
        <v>595</v>
      </c>
      <c r="F123" s="165">
        <v>178000</v>
      </c>
      <c r="G123" s="177">
        <v>0.3</v>
      </c>
      <c r="H123" s="165">
        <v>130</v>
      </c>
      <c r="I123" s="70">
        <f t="shared" si="3"/>
        <v>725</v>
      </c>
    </row>
    <row r="124" spans="2:9">
      <c r="B124" s="174">
        <v>125000</v>
      </c>
      <c r="C124" s="175">
        <v>25</v>
      </c>
      <c r="D124" s="175" t="s">
        <v>921</v>
      </c>
      <c r="E124" s="176">
        <v>625</v>
      </c>
      <c r="F124" s="165">
        <v>188000</v>
      </c>
      <c r="G124" s="177">
        <v>0.34</v>
      </c>
      <c r="H124" s="165">
        <v>130</v>
      </c>
      <c r="I124" s="70">
        <f t="shared" si="3"/>
        <v>755</v>
      </c>
    </row>
    <row r="125" spans="2:9">
      <c r="B125" s="178"/>
      <c r="C125" s="179"/>
      <c r="D125" s="179"/>
      <c r="E125" s="180"/>
      <c r="F125" s="165"/>
      <c r="G125" s="177"/>
      <c r="H125" s="165">
        <v>130</v>
      </c>
      <c r="I125" s="70">
        <f t="shared" si="3"/>
        <v>130</v>
      </c>
    </row>
    <row r="126" spans="2:9">
      <c r="B126" s="181">
        <v>115000</v>
      </c>
      <c r="C126" s="182">
        <v>15</v>
      </c>
      <c r="D126" s="182" t="s">
        <v>922</v>
      </c>
      <c r="E126" s="183">
        <v>835</v>
      </c>
      <c r="F126" s="132">
        <v>151000</v>
      </c>
      <c r="G126" s="184">
        <f>(F126-B126)/B126</f>
        <v>0.31304347826086959</v>
      </c>
      <c r="H126" s="132">
        <v>130</v>
      </c>
      <c r="I126" s="131">
        <f t="shared" si="3"/>
        <v>965</v>
      </c>
    </row>
    <row r="127" spans="2:9">
      <c r="B127" s="181">
        <v>115000</v>
      </c>
      <c r="C127" s="182">
        <v>20</v>
      </c>
      <c r="D127" s="182" t="s">
        <v>922</v>
      </c>
      <c r="E127" s="183">
        <v>680</v>
      </c>
      <c r="F127" s="132">
        <v>165000</v>
      </c>
      <c r="G127" s="184">
        <f>(F127-B127)/B127</f>
        <v>0.43478260869565216</v>
      </c>
      <c r="H127" s="132">
        <v>130</v>
      </c>
      <c r="I127" s="131">
        <f t="shared" si="3"/>
        <v>810</v>
      </c>
    </row>
    <row r="128" spans="2:9">
      <c r="B128" s="178"/>
      <c r="C128" s="179"/>
      <c r="D128" s="179"/>
      <c r="E128" s="180"/>
      <c r="F128" s="165"/>
      <c r="G128" s="177"/>
    </row>
    <row r="129" spans="2:13">
      <c r="B129" s="178">
        <v>105000</v>
      </c>
      <c r="C129" s="179">
        <v>20</v>
      </c>
      <c r="D129" s="179">
        <v>3.75</v>
      </c>
      <c r="E129" s="180">
        <v>625</v>
      </c>
      <c r="F129" s="165">
        <f>E129*(C129*12)</f>
        <v>150000</v>
      </c>
      <c r="G129" s="177">
        <f>(F129-B129)/B129</f>
        <v>0.42857142857142855</v>
      </c>
      <c r="H129" s="165">
        <v>130</v>
      </c>
      <c r="I129" s="70">
        <f>H129+E129</f>
        <v>755</v>
      </c>
    </row>
    <row r="130" spans="2:13">
      <c r="B130" s="178">
        <v>110000</v>
      </c>
      <c r="C130" s="179">
        <v>20</v>
      </c>
      <c r="D130" s="179">
        <v>3.75</v>
      </c>
      <c r="E130" s="180">
        <v>650</v>
      </c>
      <c r="F130" s="165">
        <f>E130*(C130*12)</f>
        <v>156000</v>
      </c>
      <c r="G130" s="177">
        <f>(F130-B130)/B130</f>
        <v>0.41818181818181815</v>
      </c>
      <c r="H130" s="165">
        <v>130</v>
      </c>
      <c r="I130" s="70">
        <f>H130+E130</f>
        <v>780</v>
      </c>
    </row>
    <row r="131" spans="2:13">
      <c r="B131" s="178">
        <v>90000</v>
      </c>
      <c r="C131" s="179">
        <v>20</v>
      </c>
      <c r="D131" s="179">
        <v>3.75</v>
      </c>
      <c r="E131" s="180">
        <v>530</v>
      </c>
      <c r="F131" s="165">
        <v>130000</v>
      </c>
      <c r="G131" s="177">
        <f>(F131-B131)/B131</f>
        <v>0.44444444444444442</v>
      </c>
      <c r="H131" s="165">
        <v>130</v>
      </c>
      <c r="I131" s="70">
        <f>H131+E131</f>
        <v>660</v>
      </c>
    </row>
    <row r="132" spans="2:13">
      <c r="B132" s="178"/>
      <c r="C132" s="179"/>
      <c r="D132" s="179"/>
      <c r="E132" s="180"/>
      <c r="F132" s="165"/>
      <c r="G132" s="177"/>
      <c r="M132" s="185"/>
    </row>
    <row r="133" spans="2:13">
      <c r="B133" s="178"/>
      <c r="C133" s="179"/>
      <c r="D133" s="179"/>
      <c r="E133" s="180"/>
      <c r="F133" s="165"/>
      <c r="G133" s="177"/>
      <c r="M133" s="186"/>
    </row>
    <row r="134" spans="2:13">
      <c r="B134" s="187"/>
      <c r="C134" s="188"/>
      <c r="D134" s="189"/>
      <c r="E134" s="190"/>
      <c r="G134" s="72"/>
      <c r="M134" s="191"/>
    </row>
    <row r="135" spans="2:13">
      <c r="D135" s="165"/>
      <c r="M135" s="186"/>
    </row>
    <row r="136" spans="2:13" ht="16" customHeight="1">
      <c r="B136" s="192" t="s">
        <v>923</v>
      </c>
      <c r="I136" s="165"/>
      <c r="M136" s="191"/>
    </row>
    <row r="137" spans="2:13" ht="16" customHeight="1">
      <c r="D137" s="974">
        <v>125000</v>
      </c>
      <c r="E137" s="193">
        <v>105000</v>
      </c>
      <c r="G137" s="70" t="s">
        <v>131</v>
      </c>
      <c r="I137" s="165"/>
      <c r="M137" s="191"/>
    </row>
    <row r="138" spans="2:13">
      <c r="B138" s="72" t="s">
        <v>924</v>
      </c>
      <c r="D138" s="194"/>
      <c r="G138" s="126" t="s">
        <v>925</v>
      </c>
      <c r="H138" s="195">
        <v>315</v>
      </c>
      <c r="I138" s="72" t="s">
        <v>926</v>
      </c>
      <c r="M138" s="196"/>
    </row>
    <row r="139" spans="2:13">
      <c r="C139" s="126" t="s">
        <v>927</v>
      </c>
      <c r="D139" s="197"/>
      <c r="E139" s="72"/>
      <c r="G139" s="126" t="s">
        <v>928</v>
      </c>
      <c r="H139" s="195">
        <v>1080</v>
      </c>
      <c r="I139" s="72" t="s">
        <v>929</v>
      </c>
      <c r="M139" s="198"/>
    </row>
    <row r="140" spans="2:13">
      <c r="C140" s="126" t="s">
        <v>930</v>
      </c>
      <c r="D140" s="197">
        <v>10000</v>
      </c>
      <c r="E140" s="72">
        <v>7350</v>
      </c>
      <c r="M140" s="185"/>
    </row>
    <row r="141" spans="2:13">
      <c r="C141" s="126" t="s">
        <v>931</v>
      </c>
      <c r="D141" s="197"/>
      <c r="E141" s="72"/>
      <c r="M141" s="186"/>
    </row>
    <row r="142" spans="2:13">
      <c r="C142" s="126" t="s">
        <v>932</v>
      </c>
      <c r="D142" s="197">
        <v>525</v>
      </c>
      <c r="E142" s="72">
        <v>615</v>
      </c>
      <c r="M142" s="191"/>
    </row>
    <row r="143" spans="2:13">
      <c r="C143" s="126" t="s">
        <v>933</v>
      </c>
      <c r="D143" s="197">
        <v>315</v>
      </c>
      <c r="E143" s="72">
        <v>260</v>
      </c>
      <c r="M143" s="186"/>
    </row>
    <row r="144" spans="2:13">
      <c r="C144" s="126" t="s">
        <v>934</v>
      </c>
      <c r="D144" s="197">
        <v>570</v>
      </c>
      <c r="E144" s="72">
        <v>245</v>
      </c>
      <c r="M144" s="191"/>
    </row>
    <row r="145" spans="2:15">
      <c r="B145" s="72" t="s">
        <v>935</v>
      </c>
      <c r="D145" s="197"/>
      <c r="E145" s="72"/>
      <c r="M145" s="186"/>
    </row>
    <row r="146" spans="2:15">
      <c r="C146" s="126" t="s">
        <v>931</v>
      </c>
      <c r="D146" s="197">
        <v>2500</v>
      </c>
      <c r="E146" s="72">
        <v>2610</v>
      </c>
      <c r="M146" s="191"/>
    </row>
    <row r="147" spans="2:15">
      <c r="C147" s="126" t="s">
        <v>936</v>
      </c>
      <c r="D147" s="197">
        <v>265</v>
      </c>
      <c r="E147" s="72">
        <v>190</v>
      </c>
      <c r="M147" s="186"/>
    </row>
    <row r="148" spans="2:15">
      <c r="C148" s="126" t="s">
        <v>932</v>
      </c>
      <c r="D148" s="197">
        <v>600</v>
      </c>
      <c r="E148" s="72">
        <v>345</v>
      </c>
      <c r="M148" s="191"/>
    </row>
    <row r="149" spans="2:15">
      <c r="C149" s="126" t="s">
        <v>933</v>
      </c>
      <c r="D149" s="197">
        <v>355</v>
      </c>
      <c r="E149" s="72">
        <v>40</v>
      </c>
      <c r="M149" s="186"/>
    </row>
    <row r="150" spans="2:15">
      <c r="C150" s="126" t="s">
        <v>937</v>
      </c>
      <c r="D150" s="197">
        <v>395</v>
      </c>
      <c r="E150" s="72">
        <v>245</v>
      </c>
      <c r="M150" s="191"/>
    </row>
    <row r="151" spans="2:15">
      <c r="B151" s="72" t="s">
        <v>131</v>
      </c>
      <c r="D151" s="197"/>
      <c r="E151" s="72">
        <v>115</v>
      </c>
      <c r="M151" s="186"/>
    </row>
    <row r="152" spans="2:15">
      <c r="D152" s="197"/>
      <c r="E152" s="72"/>
      <c r="M152" s="186"/>
    </row>
    <row r="153" spans="2:15">
      <c r="D153" s="197"/>
      <c r="E153" s="72"/>
      <c r="M153" s="186"/>
    </row>
    <row r="154" spans="2:15">
      <c r="B154" s="72" t="s">
        <v>938</v>
      </c>
      <c r="D154" s="197">
        <f>SUM(D140:D144)</f>
        <v>11410</v>
      </c>
      <c r="E154" s="72">
        <f>SUM(E140:E144)</f>
        <v>8470</v>
      </c>
      <c r="M154" s="191"/>
    </row>
    <row r="155" spans="2:15">
      <c r="B155" s="72" t="s">
        <v>939</v>
      </c>
      <c r="D155" s="197">
        <f>SUM(D146:D150)</f>
        <v>4115</v>
      </c>
      <c r="E155" s="72">
        <f>SUM(E146:E150)</f>
        <v>3430</v>
      </c>
      <c r="M155" s="196"/>
    </row>
    <row r="156" spans="2:15" ht="16" customHeight="1">
      <c r="B156" s="975"/>
      <c r="C156" s="976" t="s">
        <v>86</v>
      </c>
      <c r="D156" s="977">
        <f>D154+D155</f>
        <v>15525</v>
      </c>
      <c r="E156" s="978">
        <f>E154+E155</f>
        <v>11900</v>
      </c>
      <c r="M156" s="198"/>
    </row>
    <row r="157" spans="2:15">
      <c r="M157" s="199"/>
    </row>
    <row r="158" spans="2:15">
      <c r="M158" s="200"/>
      <c r="N158" s="201"/>
      <c r="O158" s="201"/>
    </row>
    <row r="159" spans="2:15">
      <c r="B159" s="130"/>
      <c r="C159" s="131"/>
      <c r="D159" s="131"/>
      <c r="E159" s="131"/>
      <c r="F159" s="131"/>
      <c r="G159" s="131"/>
      <c r="H159" s="132"/>
      <c r="I159" s="131"/>
      <c r="J159" s="131"/>
      <c r="K159" s="131"/>
      <c r="L159" s="131"/>
      <c r="M159" s="202"/>
      <c r="N159" s="201"/>
      <c r="O159" s="201"/>
    </row>
    <row r="160" spans="2:15">
      <c r="M160" s="191"/>
      <c r="N160" s="201"/>
      <c r="O160" s="201"/>
    </row>
    <row r="161" spans="2:15" ht="16" customHeight="1">
      <c r="E161" s="192" t="s">
        <v>940</v>
      </c>
      <c r="M161" s="186"/>
      <c r="N161" s="201"/>
      <c r="O161" s="201"/>
    </row>
    <row r="162" spans="2:15">
      <c r="M162" s="191"/>
      <c r="N162" s="201"/>
      <c r="O162" s="201"/>
    </row>
    <row r="163" spans="2:15" ht="16" customHeight="1">
      <c r="E163" s="203" t="s">
        <v>941</v>
      </c>
      <c r="F163" s="204">
        <v>1500000</v>
      </c>
      <c r="G163" s="204">
        <v>3000000</v>
      </c>
      <c r="H163" s="204">
        <v>4000000</v>
      </c>
      <c r="I163" s="204">
        <v>5000000</v>
      </c>
      <c r="J163" s="204">
        <v>10000000</v>
      </c>
      <c r="K163" s="204">
        <v>15000000</v>
      </c>
      <c r="L163" s="204">
        <v>20000000</v>
      </c>
      <c r="M163" s="204">
        <v>25000000</v>
      </c>
      <c r="N163" s="201"/>
      <c r="O163" s="201"/>
    </row>
    <row r="164" spans="2:15" ht="16" customHeight="1">
      <c r="E164" s="205" t="s">
        <v>942</v>
      </c>
      <c r="F164" s="71">
        <f t="shared" ref="F164:M164" si="4">F163/100</f>
        <v>15000</v>
      </c>
      <c r="G164" s="71">
        <f t="shared" si="4"/>
        <v>30000</v>
      </c>
      <c r="H164" s="71">
        <f t="shared" si="4"/>
        <v>40000</v>
      </c>
      <c r="I164" s="71">
        <f t="shared" si="4"/>
        <v>50000</v>
      </c>
      <c r="J164" s="71">
        <f t="shared" si="4"/>
        <v>100000</v>
      </c>
      <c r="K164" s="71">
        <f t="shared" si="4"/>
        <v>150000</v>
      </c>
      <c r="L164" s="71">
        <f t="shared" si="4"/>
        <v>200000</v>
      </c>
      <c r="M164" s="71">
        <f t="shared" si="4"/>
        <v>250000</v>
      </c>
      <c r="N164" s="201"/>
      <c r="O164" s="201"/>
    </row>
    <row r="165" spans="2:15" ht="16" customHeight="1">
      <c r="E165" s="206" t="s">
        <v>943</v>
      </c>
      <c r="F165" s="71">
        <f t="shared" ref="F165:M165" si="5">(22*F164)/100</f>
        <v>3300</v>
      </c>
      <c r="G165" s="71">
        <f t="shared" si="5"/>
        <v>6600</v>
      </c>
      <c r="H165" s="71">
        <f t="shared" si="5"/>
        <v>8800</v>
      </c>
      <c r="I165" s="71">
        <f t="shared" si="5"/>
        <v>11000</v>
      </c>
      <c r="J165" s="71">
        <f t="shared" si="5"/>
        <v>22000</v>
      </c>
      <c r="K165" s="71">
        <f t="shared" si="5"/>
        <v>33000</v>
      </c>
      <c r="L165" s="71">
        <f t="shared" si="5"/>
        <v>44000</v>
      </c>
      <c r="M165" s="71">
        <f t="shared" si="5"/>
        <v>55000</v>
      </c>
      <c r="N165" s="201"/>
      <c r="O165" s="201"/>
    </row>
    <row r="166" spans="2:15" ht="16" customHeight="1">
      <c r="E166" s="207" t="s">
        <v>93</v>
      </c>
      <c r="F166" s="208">
        <f t="shared" ref="F166:M166" si="6">F164-F165</f>
        <v>11700</v>
      </c>
      <c r="G166" s="208">
        <f t="shared" si="6"/>
        <v>23400</v>
      </c>
      <c r="H166" s="208">
        <f t="shared" si="6"/>
        <v>31200</v>
      </c>
      <c r="I166" s="208">
        <f t="shared" si="6"/>
        <v>39000</v>
      </c>
      <c r="J166" s="208">
        <f t="shared" si="6"/>
        <v>78000</v>
      </c>
      <c r="K166" s="208">
        <f t="shared" si="6"/>
        <v>117000</v>
      </c>
      <c r="L166" s="208">
        <f t="shared" si="6"/>
        <v>156000</v>
      </c>
      <c r="M166" s="208">
        <f t="shared" si="6"/>
        <v>195000</v>
      </c>
      <c r="N166" s="201"/>
      <c r="O166" s="201"/>
    </row>
    <row r="167" spans="2:15">
      <c r="E167" s="126" t="s">
        <v>944</v>
      </c>
      <c r="F167" s="71">
        <v>18000</v>
      </c>
      <c r="G167" s="71">
        <v>18000</v>
      </c>
      <c r="H167" s="71">
        <v>18000</v>
      </c>
      <c r="I167" s="71">
        <v>18000</v>
      </c>
      <c r="J167" s="71">
        <v>18000</v>
      </c>
      <c r="K167" s="71">
        <v>18000</v>
      </c>
      <c r="L167" s="71">
        <v>18000</v>
      </c>
      <c r="M167" s="71">
        <v>18000</v>
      </c>
      <c r="N167" s="201"/>
      <c r="O167" s="201"/>
    </row>
    <row r="168" spans="2:15">
      <c r="E168" s="126" t="s">
        <v>945</v>
      </c>
      <c r="F168" s="71">
        <v>21000</v>
      </c>
      <c r="G168" s="71">
        <v>21000</v>
      </c>
      <c r="H168" s="71">
        <v>21000</v>
      </c>
      <c r="I168" s="71">
        <v>21000</v>
      </c>
      <c r="J168" s="71">
        <v>21000</v>
      </c>
      <c r="K168" s="71">
        <v>21000</v>
      </c>
      <c r="L168" s="71">
        <v>21000</v>
      </c>
      <c r="M168" s="71">
        <v>21000</v>
      </c>
      <c r="N168" s="201"/>
      <c r="O168" s="201"/>
    </row>
    <row r="169" spans="2:15" ht="16" customHeight="1">
      <c r="E169" s="209" t="s">
        <v>946</v>
      </c>
      <c r="F169" s="210">
        <f t="shared" ref="F169:M169" si="7">SUM(F166:F168)</f>
        <v>50700</v>
      </c>
      <c r="G169" s="211">
        <f t="shared" si="7"/>
        <v>62400</v>
      </c>
      <c r="H169" s="211">
        <f t="shared" si="7"/>
        <v>70200</v>
      </c>
      <c r="I169" s="211">
        <f t="shared" si="7"/>
        <v>78000</v>
      </c>
      <c r="J169" s="211">
        <f t="shared" si="7"/>
        <v>117000</v>
      </c>
      <c r="K169" s="211">
        <f t="shared" si="7"/>
        <v>156000</v>
      </c>
      <c r="L169" s="211">
        <f t="shared" si="7"/>
        <v>195000</v>
      </c>
      <c r="M169" s="211">
        <f t="shared" si="7"/>
        <v>234000</v>
      </c>
      <c r="N169" s="201"/>
      <c r="O169" s="201"/>
    </row>
    <row r="170" spans="2:15">
      <c r="M170" s="196"/>
    </row>
    <row r="171" spans="2:15">
      <c r="M171" s="198"/>
    </row>
    <row r="173" spans="2:15" ht="9" customHeight="1">
      <c r="B173" s="212"/>
      <c r="C173" s="213"/>
      <c r="D173" s="213"/>
      <c r="E173" s="213"/>
      <c r="F173" s="213"/>
      <c r="G173" s="213"/>
      <c r="H173" s="214"/>
      <c r="I173" s="213"/>
      <c r="J173" s="213"/>
      <c r="K173" s="213"/>
      <c r="L173" s="213"/>
      <c r="M173" s="213"/>
    </row>
    <row r="174" spans="2:15" ht="18" customHeight="1">
      <c r="B174" s="133" t="s">
        <v>947</v>
      </c>
    </row>
    <row r="176" spans="2:15" ht="16" customHeight="1">
      <c r="B176" s="215">
        <v>2000000</v>
      </c>
      <c r="C176" s="131"/>
      <c r="D176" s="131"/>
      <c r="E176" s="131"/>
      <c r="F176" s="131"/>
      <c r="G176" s="131"/>
      <c r="H176" s="132"/>
      <c r="I176" s="131"/>
    </row>
    <row r="178" spans="2:9">
      <c r="B178" s="72" t="s">
        <v>948</v>
      </c>
      <c r="D178" s="70">
        <v>30000</v>
      </c>
    </row>
    <row r="179" spans="2:9">
      <c r="B179" s="72" t="s">
        <v>949</v>
      </c>
      <c r="D179" s="70">
        <v>2500</v>
      </c>
    </row>
    <row r="180" spans="2:9" ht="38.25" customHeight="1">
      <c r="B180" s="1024" t="s">
        <v>950</v>
      </c>
      <c r="C180" s="1025"/>
      <c r="D180" s="1025"/>
      <c r="E180" s="216" t="s">
        <v>951</v>
      </c>
      <c r="F180" s="969" t="s">
        <v>952</v>
      </c>
      <c r="G180" s="969" t="s">
        <v>953</v>
      </c>
      <c r="H180" s="969" t="s">
        <v>954</v>
      </c>
      <c r="I180" s="217" t="s">
        <v>955</v>
      </c>
    </row>
    <row r="181" spans="2:9">
      <c r="B181" s="218">
        <v>1750000</v>
      </c>
      <c r="D181" s="165">
        <f t="shared" ref="D181:D187" si="8">(2*B181)/100</f>
        <v>35000</v>
      </c>
      <c r="E181" s="72">
        <f t="shared" ref="E181:E187" si="9">(30*D181)/100</f>
        <v>10500</v>
      </c>
      <c r="F181" s="165">
        <f>D178-(D181-E181)</f>
        <v>5500</v>
      </c>
      <c r="G181" s="165">
        <f t="shared" ref="G181:G187" si="10">F181*10</f>
        <v>55000</v>
      </c>
      <c r="H181" s="165">
        <f t="shared" ref="H181:H187" si="11">F181*20</f>
        <v>110000</v>
      </c>
      <c r="I181" s="70">
        <f t="shared" ref="I181:I187" si="12">F181*40</f>
        <v>220000</v>
      </c>
    </row>
    <row r="182" spans="2:9">
      <c r="B182" s="218">
        <v>1500000</v>
      </c>
      <c r="D182" s="165">
        <f t="shared" si="8"/>
        <v>30000</v>
      </c>
      <c r="E182" s="72">
        <f t="shared" si="9"/>
        <v>9000</v>
      </c>
      <c r="F182" s="165">
        <f>D178-(D182-E182)</f>
        <v>9000</v>
      </c>
      <c r="G182" s="165">
        <f t="shared" si="10"/>
        <v>90000</v>
      </c>
      <c r="H182" s="165">
        <f t="shared" si="11"/>
        <v>180000</v>
      </c>
      <c r="I182" s="70">
        <f t="shared" si="12"/>
        <v>360000</v>
      </c>
    </row>
    <row r="183" spans="2:9">
      <c r="B183" s="218">
        <v>1250000</v>
      </c>
      <c r="D183" s="165">
        <f t="shared" si="8"/>
        <v>25000</v>
      </c>
      <c r="E183" s="72">
        <f t="shared" si="9"/>
        <v>7500</v>
      </c>
      <c r="F183" s="165">
        <f>D178-(D183-E183)</f>
        <v>12500</v>
      </c>
      <c r="G183" s="165">
        <f t="shared" si="10"/>
        <v>125000</v>
      </c>
      <c r="H183" s="165">
        <f t="shared" si="11"/>
        <v>250000</v>
      </c>
      <c r="I183" s="70">
        <f t="shared" si="12"/>
        <v>500000</v>
      </c>
    </row>
    <row r="184" spans="2:9">
      <c r="B184" s="979">
        <v>1000000</v>
      </c>
      <c r="C184" s="980"/>
      <c r="D184" s="981">
        <f t="shared" si="8"/>
        <v>20000</v>
      </c>
      <c r="E184" s="982">
        <f t="shared" si="9"/>
        <v>6000</v>
      </c>
      <c r="F184" s="981">
        <f>D178-(D184-E184)</f>
        <v>16000</v>
      </c>
      <c r="G184" s="981">
        <f t="shared" si="10"/>
        <v>160000</v>
      </c>
      <c r="H184" s="981">
        <f t="shared" si="11"/>
        <v>320000</v>
      </c>
      <c r="I184" s="983">
        <f t="shared" si="12"/>
        <v>640000</v>
      </c>
    </row>
    <row r="185" spans="2:9">
      <c r="B185" s="218">
        <v>750000</v>
      </c>
      <c r="D185" s="165">
        <f t="shared" si="8"/>
        <v>15000</v>
      </c>
      <c r="E185" s="72">
        <f t="shared" si="9"/>
        <v>4500</v>
      </c>
      <c r="F185" s="165">
        <f>D178-(D185-E185)</f>
        <v>19500</v>
      </c>
      <c r="G185" s="165">
        <f t="shared" si="10"/>
        <v>195000</v>
      </c>
      <c r="H185" s="165">
        <f t="shared" si="11"/>
        <v>390000</v>
      </c>
      <c r="I185" s="70">
        <f t="shared" si="12"/>
        <v>780000</v>
      </c>
    </row>
    <row r="186" spans="2:9">
      <c r="B186" s="218">
        <v>500000</v>
      </c>
      <c r="D186" s="165">
        <f t="shared" si="8"/>
        <v>10000</v>
      </c>
      <c r="E186" s="72">
        <f t="shared" si="9"/>
        <v>3000</v>
      </c>
      <c r="F186" s="165">
        <f>D178-(D186-E186)</f>
        <v>23000</v>
      </c>
      <c r="G186" s="165">
        <f t="shared" si="10"/>
        <v>230000</v>
      </c>
      <c r="H186" s="165">
        <f t="shared" si="11"/>
        <v>460000</v>
      </c>
      <c r="I186" s="70">
        <f t="shared" si="12"/>
        <v>920000</v>
      </c>
    </row>
    <row r="187" spans="2:9">
      <c r="B187" s="218">
        <v>250000</v>
      </c>
      <c r="D187" s="165">
        <f t="shared" si="8"/>
        <v>5000</v>
      </c>
      <c r="E187" s="72">
        <f t="shared" si="9"/>
        <v>1500</v>
      </c>
      <c r="F187" s="165">
        <f>D178-(D187-E187)</f>
        <v>26500</v>
      </c>
      <c r="G187" s="165">
        <f t="shared" si="10"/>
        <v>265000</v>
      </c>
      <c r="H187" s="165">
        <f t="shared" si="11"/>
        <v>530000</v>
      </c>
      <c r="I187" s="70">
        <f t="shared" si="12"/>
        <v>1060000</v>
      </c>
    </row>
    <row r="189" spans="2:9" ht="16" customHeight="1">
      <c r="B189" s="193" t="s">
        <v>956</v>
      </c>
    </row>
    <row r="190" spans="2:9" ht="38.25" customHeight="1">
      <c r="B190" s="1024" t="s">
        <v>950</v>
      </c>
      <c r="C190" s="1025"/>
      <c r="D190" s="1025"/>
      <c r="E190" s="216" t="s">
        <v>951</v>
      </c>
      <c r="F190" s="969" t="s">
        <v>952</v>
      </c>
      <c r="G190" s="969" t="s">
        <v>953</v>
      </c>
      <c r="H190" s="969" t="s">
        <v>954</v>
      </c>
      <c r="I190" s="217" t="s">
        <v>955</v>
      </c>
    </row>
    <row r="191" spans="2:9">
      <c r="B191" s="218">
        <v>1750000</v>
      </c>
      <c r="D191" s="165">
        <f t="shared" ref="D191:D197" si="13">(2*B191)/100</f>
        <v>35000</v>
      </c>
      <c r="E191" s="72">
        <f t="shared" ref="E191:E197" si="14">(30*D191)/100</f>
        <v>10500</v>
      </c>
      <c r="F191" s="165">
        <f>D178-(D191-E191)+10000</f>
        <v>15500</v>
      </c>
      <c r="G191" s="165">
        <f t="shared" ref="G191:G197" si="15">F191*10</f>
        <v>155000</v>
      </c>
      <c r="H191" s="165">
        <f t="shared" ref="H191:H197" si="16">F191*20</f>
        <v>310000</v>
      </c>
      <c r="I191" s="70">
        <f t="shared" ref="I191:I197" si="17">F191*40</f>
        <v>620000</v>
      </c>
    </row>
    <row r="192" spans="2:9">
      <c r="B192" s="218">
        <v>1500000</v>
      </c>
      <c r="D192" s="165">
        <f t="shared" si="13"/>
        <v>30000</v>
      </c>
      <c r="E192" s="72">
        <f t="shared" si="14"/>
        <v>9000</v>
      </c>
      <c r="F192" s="165">
        <f>D178-(D192-E192)+10000</f>
        <v>19000</v>
      </c>
      <c r="G192" s="165">
        <f t="shared" si="15"/>
        <v>190000</v>
      </c>
      <c r="H192" s="165">
        <f t="shared" si="16"/>
        <v>380000</v>
      </c>
      <c r="I192" s="70">
        <f t="shared" si="17"/>
        <v>760000</v>
      </c>
    </row>
    <row r="193" spans="2:9">
      <c r="B193" s="218">
        <v>1250000</v>
      </c>
      <c r="D193" s="165">
        <f t="shared" si="13"/>
        <v>25000</v>
      </c>
      <c r="E193" s="72">
        <f t="shared" si="14"/>
        <v>7500</v>
      </c>
      <c r="F193" s="165">
        <f>D178-(D193-E193)+10000</f>
        <v>22500</v>
      </c>
      <c r="G193" s="165">
        <f t="shared" si="15"/>
        <v>225000</v>
      </c>
      <c r="H193" s="165">
        <f t="shared" si="16"/>
        <v>450000</v>
      </c>
      <c r="I193" s="70">
        <f t="shared" si="17"/>
        <v>900000</v>
      </c>
    </row>
    <row r="194" spans="2:9">
      <c r="B194" s="979">
        <v>1000000</v>
      </c>
      <c r="C194" s="980"/>
      <c r="D194" s="981">
        <f t="shared" si="13"/>
        <v>20000</v>
      </c>
      <c r="E194" s="982">
        <f t="shared" si="14"/>
        <v>6000</v>
      </c>
      <c r="F194" s="981">
        <f>D178-(D194-E194)+10000</f>
        <v>26000</v>
      </c>
      <c r="G194" s="981">
        <f t="shared" si="15"/>
        <v>260000</v>
      </c>
      <c r="H194" s="981">
        <f t="shared" si="16"/>
        <v>520000</v>
      </c>
      <c r="I194" s="983">
        <f t="shared" si="17"/>
        <v>1040000</v>
      </c>
    </row>
    <row r="195" spans="2:9">
      <c r="B195" s="218">
        <v>750000</v>
      </c>
      <c r="D195" s="165">
        <f t="shared" si="13"/>
        <v>15000</v>
      </c>
      <c r="E195" s="72">
        <f t="shared" si="14"/>
        <v>4500</v>
      </c>
      <c r="F195" s="165">
        <f>D178-(D195-E195)+10000</f>
        <v>29500</v>
      </c>
      <c r="G195" s="165">
        <f t="shared" si="15"/>
        <v>295000</v>
      </c>
      <c r="H195" s="165">
        <f t="shared" si="16"/>
        <v>590000</v>
      </c>
      <c r="I195" s="70">
        <f t="shared" si="17"/>
        <v>1180000</v>
      </c>
    </row>
    <row r="196" spans="2:9">
      <c r="B196" s="218">
        <v>500000</v>
      </c>
      <c r="D196" s="165">
        <f t="shared" si="13"/>
        <v>10000</v>
      </c>
      <c r="E196" s="72">
        <f t="shared" si="14"/>
        <v>3000</v>
      </c>
      <c r="F196" s="165">
        <f>D178-(D196-E196)+10000</f>
        <v>33000</v>
      </c>
      <c r="G196" s="165">
        <f t="shared" si="15"/>
        <v>330000</v>
      </c>
      <c r="H196" s="165">
        <f t="shared" si="16"/>
        <v>660000</v>
      </c>
      <c r="I196" s="70">
        <f t="shared" si="17"/>
        <v>1320000</v>
      </c>
    </row>
    <row r="197" spans="2:9">
      <c r="B197" s="218">
        <v>250000</v>
      </c>
      <c r="D197" s="165">
        <f t="shared" si="13"/>
        <v>5000</v>
      </c>
      <c r="E197" s="72">
        <f t="shared" si="14"/>
        <v>1500</v>
      </c>
      <c r="F197" s="165">
        <f>D178-(D197-E197)+10000</f>
        <v>36500</v>
      </c>
      <c r="G197" s="165">
        <f t="shared" si="15"/>
        <v>365000</v>
      </c>
      <c r="H197" s="165">
        <f t="shared" si="16"/>
        <v>730000</v>
      </c>
      <c r="I197" s="70">
        <f t="shared" si="17"/>
        <v>1460000</v>
      </c>
    </row>
    <row r="199" spans="2:9" ht="16" customHeight="1">
      <c r="B199" s="215">
        <v>1000000</v>
      </c>
      <c r="C199" s="131"/>
      <c r="D199" s="131"/>
      <c r="E199" s="131"/>
      <c r="F199" s="131"/>
      <c r="G199" s="131"/>
      <c r="H199" s="132"/>
      <c r="I199" s="131"/>
    </row>
    <row r="201" spans="2:9">
      <c r="B201" s="72" t="s">
        <v>948</v>
      </c>
      <c r="D201" s="70">
        <v>30000</v>
      </c>
    </row>
    <row r="202" spans="2:9">
      <c r="B202" s="72" t="s">
        <v>949</v>
      </c>
      <c r="D202" s="70">
        <v>2500</v>
      </c>
    </row>
    <row r="203" spans="2:9" ht="38.25" customHeight="1">
      <c r="B203" s="1024" t="s">
        <v>950</v>
      </c>
      <c r="C203" s="1025"/>
      <c r="D203" s="1025"/>
      <c r="E203" s="216" t="s">
        <v>951</v>
      </c>
      <c r="F203" s="969" t="s">
        <v>952</v>
      </c>
      <c r="G203" s="969" t="s">
        <v>953</v>
      </c>
      <c r="H203" s="969" t="s">
        <v>954</v>
      </c>
      <c r="I203" s="217" t="s">
        <v>955</v>
      </c>
    </row>
    <row r="204" spans="2:9">
      <c r="B204" s="218">
        <v>750000</v>
      </c>
      <c r="D204" s="165">
        <f>(2*B204)/100</f>
        <v>15000</v>
      </c>
      <c r="E204" s="72">
        <f>(30*D204)/100</f>
        <v>4500</v>
      </c>
      <c r="F204" s="165">
        <f>D201-(D204-E204)</f>
        <v>19500</v>
      </c>
      <c r="G204" s="165">
        <f>F204*10</f>
        <v>195000</v>
      </c>
      <c r="H204" s="165">
        <f>F204*20</f>
        <v>390000</v>
      </c>
      <c r="I204" s="70">
        <f>F204*40</f>
        <v>780000</v>
      </c>
    </row>
    <row r="205" spans="2:9">
      <c r="B205" s="218">
        <v>500000</v>
      </c>
      <c r="D205" s="165">
        <f>(2*B205)/100</f>
        <v>10000</v>
      </c>
      <c r="E205" s="72">
        <f>(30*D205)/100</f>
        <v>3000</v>
      </c>
      <c r="F205" s="165">
        <f>D201-(D205-E205)</f>
        <v>23000</v>
      </c>
      <c r="G205" s="165">
        <f>F205*10</f>
        <v>230000</v>
      </c>
      <c r="H205" s="165">
        <f>F205*20</f>
        <v>460000</v>
      </c>
      <c r="I205" s="70">
        <f>F205*40</f>
        <v>920000</v>
      </c>
    </row>
    <row r="206" spans="2:9">
      <c r="B206" s="218">
        <v>250000</v>
      </c>
      <c r="D206" s="165">
        <f>(2*B206)/100</f>
        <v>5000</v>
      </c>
      <c r="E206" s="72">
        <f>(30*D206)/100</f>
        <v>1500</v>
      </c>
      <c r="F206" s="165">
        <f>D201-(D206-E206)</f>
        <v>26500</v>
      </c>
      <c r="G206" s="165">
        <f>F206*10</f>
        <v>265000</v>
      </c>
      <c r="H206" s="165">
        <f>F206*20</f>
        <v>530000</v>
      </c>
      <c r="I206" s="70">
        <f>F206*40</f>
        <v>1060000</v>
      </c>
    </row>
    <row r="208" spans="2:9" ht="16" customHeight="1">
      <c r="B208" s="215">
        <v>1250000</v>
      </c>
      <c r="C208" s="131"/>
      <c r="D208" s="131"/>
      <c r="E208" s="131"/>
      <c r="F208" s="131"/>
      <c r="G208" s="131"/>
      <c r="H208" s="132"/>
      <c r="I208" s="131"/>
    </row>
    <row r="210" spans="2:10">
      <c r="B210" s="72" t="s">
        <v>948</v>
      </c>
      <c r="D210" s="70">
        <v>30000</v>
      </c>
    </row>
    <row r="211" spans="2:10">
      <c r="B211" s="72" t="s">
        <v>949</v>
      </c>
      <c r="D211" s="70">
        <v>2500</v>
      </c>
    </row>
    <row r="212" spans="2:10" ht="38.25" customHeight="1">
      <c r="B212" s="1024" t="s">
        <v>950</v>
      </c>
      <c r="C212" s="1025"/>
      <c r="D212" s="1025"/>
      <c r="E212" s="216" t="s">
        <v>951</v>
      </c>
      <c r="F212" s="969" t="s">
        <v>952</v>
      </c>
      <c r="G212" s="969" t="s">
        <v>953</v>
      </c>
      <c r="H212" s="969" t="s">
        <v>954</v>
      </c>
      <c r="I212" s="217" t="s">
        <v>955</v>
      </c>
    </row>
    <row r="213" spans="2:10">
      <c r="B213" s="979">
        <v>1000000</v>
      </c>
      <c r="C213" s="980"/>
      <c r="D213" s="981">
        <f>(2*B213)/100</f>
        <v>20000</v>
      </c>
      <c r="E213" s="982">
        <f>(30*D213)/100</f>
        <v>6000</v>
      </c>
      <c r="F213" s="981">
        <f>D210-(D213-E213)</f>
        <v>16000</v>
      </c>
      <c r="G213" s="981">
        <f>F213*10</f>
        <v>160000</v>
      </c>
      <c r="H213" s="981">
        <f>F213*20</f>
        <v>320000</v>
      </c>
      <c r="I213" s="983">
        <f>F213*40</f>
        <v>640000</v>
      </c>
    </row>
    <row r="214" spans="2:10">
      <c r="B214" s="218">
        <v>750000</v>
      </c>
      <c r="D214" s="165">
        <f>(2*B214)/100</f>
        <v>15000</v>
      </c>
      <c r="E214" s="72">
        <f>(30*D214)/100</f>
        <v>4500</v>
      </c>
      <c r="F214" s="165">
        <f>D210-(D214-E214)</f>
        <v>19500</v>
      </c>
      <c r="G214" s="165">
        <f>F214*10</f>
        <v>195000</v>
      </c>
      <c r="H214" s="165">
        <f>F214*20</f>
        <v>390000</v>
      </c>
      <c r="I214" s="70">
        <f>F214*40</f>
        <v>780000</v>
      </c>
    </row>
    <row r="215" spans="2:10">
      <c r="B215" s="218">
        <v>500000</v>
      </c>
      <c r="D215" s="165">
        <f>(2*B215)/100</f>
        <v>10000</v>
      </c>
      <c r="E215" s="72">
        <f>(30*D215)/100</f>
        <v>3000</v>
      </c>
      <c r="F215" s="165">
        <f>D210-(D215-E215)</f>
        <v>23000</v>
      </c>
      <c r="G215" s="165">
        <f>F215*10</f>
        <v>230000</v>
      </c>
      <c r="H215" s="165">
        <f>F215*20</f>
        <v>460000</v>
      </c>
      <c r="I215" s="70">
        <f>F215*40</f>
        <v>920000</v>
      </c>
    </row>
    <row r="216" spans="2:10">
      <c r="B216" s="218">
        <v>250000</v>
      </c>
      <c r="D216" s="165">
        <f>(2*B216)/100</f>
        <v>5000</v>
      </c>
      <c r="E216" s="72">
        <f>(30*D216)/100</f>
        <v>1500</v>
      </c>
      <c r="F216" s="165">
        <f>D210-(D216-E216)</f>
        <v>26500</v>
      </c>
      <c r="G216" s="165">
        <f>F216*10</f>
        <v>265000</v>
      </c>
      <c r="H216" s="165">
        <f>F216*20</f>
        <v>530000</v>
      </c>
      <c r="I216" s="70">
        <f>F216*40</f>
        <v>1060000</v>
      </c>
    </row>
    <row r="220" spans="2:10">
      <c r="B220" s="219" t="s">
        <v>177</v>
      </c>
      <c r="C220" s="220" t="s">
        <v>957</v>
      </c>
      <c r="D220" s="220"/>
      <c r="E220" s="220" t="s">
        <v>93</v>
      </c>
      <c r="F220" s="220" t="s">
        <v>958</v>
      </c>
      <c r="G220" s="220" t="s">
        <v>959</v>
      </c>
      <c r="H220" s="221" t="s">
        <v>960</v>
      </c>
      <c r="I220" s="222" t="s">
        <v>961</v>
      </c>
    </row>
    <row r="221" spans="2:10">
      <c r="B221" s="223">
        <v>150000</v>
      </c>
      <c r="C221" s="224">
        <v>20</v>
      </c>
      <c r="D221" s="72"/>
      <c r="E221" s="225">
        <f t="shared" ref="E221:E251" si="18">B221-(C221*(B221/100))</f>
        <v>120000</v>
      </c>
      <c r="F221" s="226">
        <v>2</v>
      </c>
      <c r="G221" s="227">
        <f t="shared" ref="G221:G251" si="19">E221+(F221*(E221/100))</f>
        <v>122400</v>
      </c>
      <c r="H221" s="228">
        <f t="shared" ref="H221:H251" si="20">G221-E221</f>
        <v>2400</v>
      </c>
      <c r="I221" s="229">
        <f t="shared" ref="I221:I251" si="21">H221-(40*(H221/100))</f>
        <v>1440</v>
      </c>
      <c r="J221" s="165" t="s">
        <v>962</v>
      </c>
    </row>
    <row r="222" spans="2:10">
      <c r="B222" s="223">
        <v>200000</v>
      </c>
      <c r="C222" s="126">
        <v>20</v>
      </c>
      <c r="D222" s="72"/>
      <c r="E222" s="225">
        <f t="shared" si="18"/>
        <v>160000</v>
      </c>
      <c r="F222" s="226">
        <v>2</v>
      </c>
      <c r="G222" s="227">
        <f t="shared" si="19"/>
        <v>163200</v>
      </c>
      <c r="H222" s="228">
        <f t="shared" si="20"/>
        <v>3200</v>
      </c>
      <c r="I222" s="229">
        <f t="shared" si="21"/>
        <v>1920</v>
      </c>
    </row>
    <row r="223" spans="2:10">
      <c r="B223" s="223">
        <v>250000</v>
      </c>
      <c r="C223" s="126">
        <v>20</v>
      </c>
      <c r="D223" s="72"/>
      <c r="E223" s="225">
        <f t="shared" si="18"/>
        <v>200000</v>
      </c>
      <c r="F223" s="226">
        <v>2</v>
      </c>
      <c r="G223" s="227">
        <f t="shared" si="19"/>
        <v>204000</v>
      </c>
      <c r="H223" s="228">
        <f t="shared" si="20"/>
        <v>4000</v>
      </c>
      <c r="I223" s="229">
        <f t="shared" si="21"/>
        <v>2400</v>
      </c>
    </row>
    <row r="224" spans="2:10">
      <c r="B224" s="223">
        <v>300000</v>
      </c>
      <c r="C224" s="126">
        <v>20</v>
      </c>
      <c r="D224" s="72"/>
      <c r="E224" s="225">
        <f t="shared" si="18"/>
        <v>240000</v>
      </c>
      <c r="F224" s="226">
        <v>2</v>
      </c>
      <c r="G224" s="227">
        <f t="shared" si="19"/>
        <v>244800</v>
      </c>
      <c r="H224" s="228">
        <f t="shared" si="20"/>
        <v>4800</v>
      </c>
      <c r="I224" s="229">
        <f t="shared" si="21"/>
        <v>2880</v>
      </c>
    </row>
    <row r="225" spans="2:9">
      <c r="B225" s="223">
        <v>350000</v>
      </c>
      <c r="C225" s="126">
        <v>20</v>
      </c>
      <c r="D225" s="72"/>
      <c r="E225" s="225">
        <f t="shared" si="18"/>
        <v>280000</v>
      </c>
      <c r="F225" s="226">
        <v>2</v>
      </c>
      <c r="G225" s="227">
        <f t="shared" si="19"/>
        <v>285600</v>
      </c>
      <c r="H225" s="228">
        <f t="shared" si="20"/>
        <v>5600</v>
      </c>
      <c r="I225" s="229">
        <f t="shared" si="21"/>
        <v>3360</v>
      </c>
    </row>
    <row r="226" spans="2:9">
      <c r="B226" s="223">
        <v>400000</v>
      </c>
      <c r="C226" s="126">
        <v>20</v>
      </c>
      <c r="D226" s="72"/>
      <c r="E226" s="225">
        <f t="shared" si="18"/>
        <v>320000</v>
      </c>
      <c r="F226" s="226">
        <v>2</v>
      </c>
      <c r="G226" s="227">
        <f t="shared" si="19"/>
        <v>326400</v>
      </c>
      <c r="H226" s="228">
        <f t="shared" si="20"/>
        <v>6400</v>
      </c>
      <c r="I226" s="229">
        <f t="shared" si="21"/>
        <v>3840</v>
      </c>
    </row>
    <row r="227" spans="2:9">
      <c r="B227" s="223">
        <v>450000</v>
      </c>
      <c r="C227" s="126">
        <v>20</v>
      </c>
      <c r="D227" s="72"/>
      <c r="E227" s="225">
        <f t="shared" si="18"/>
        <v>360000</v>
      </c>
      <c r="F227" s="226">
        <v>2</v>
      </c>
      <c r="G227" s="227">
        <f t="shared" si="19"/>
        <v>367200</v>
      </c>
      <c r="H227" s="228">
        <f t="shared" si="20"/>
        <v>7200</v>
      </c>
      <c r="I227" s="229">
        <f t="shared" si="21"/>
        <v>4320</v>
      </c>
    </row>
    <row r="228" spans="2:9">
      <c r="B228" s="223">
        <v>500000</v>
      </c>
      <c r="C228" s="126">
        <v>20</v>
      </c>
      <c r="D228" s="72"/>
      <c r="E228" s="225">
        <f t="shared" si="18"/>
        <v>400000</v>
      </c>
      <c r="F228" s="226">
        <v>2</v>
      </c>
      <c r="G228" s="227">
        <f t="shared" si="19"/>
        <v>408000</v>
      </c>
      <c r="H228" s="228">
        <f t="shared" si="20"/>
        <v>8000</v>
      </c>
      <c r="I228" s="229">
        <f t="shared" si="21"/>
        <v>4800</v>
      </c>
    </row>
    <row r="229" spans="2:9">
      <c r="B229" s="223">
        <v>550000</v>
      </c>
      <c r="C229" s="126">
        <v>20</v>
      </c>
      <c r="D229" s="72"/>
      <c r="E229" s="225">
        <f t="shared" si="18"/>
        <v>440000</v>
      </c>
      <c r="F229" s="226">
        <v>2</v>
      </c>
      <c r="G229" s="227">
        <f t="shared" si="19"/>
        <v>448800</v>
      </c>
      <c r="H229" s="228">
        <f t="shared" si="20"/>
        <v>8800</v>
      </c>
      <c r="I229" s="229">
        <f t="shared" si="21"/>
        <v>5280</v>
      </c>
    </row>
    <row r="230" spans="2:9">
      <c r="B230" s="223">
        <v>600000</v>
      </c>
      <c r="C230" s="126">
        <v>20</v>
      </c>
      <c r="D230" s="72"/>
      <c r="E230" s="225">
        <f t="shared" si="18"/>
        <v>480000</v>
      </c>
      <c r="F230" s="226">
        <v>2</v>
      </c>
      <c r="G230" s="227">
        <f t="shared" si="19"/>
        <v>489600</v>
      </c>
      <c r="H230" s="228">
        <f t="shared" si="20"/>
        <v>9600</v>
      </c>
      <c r="I230" s="229">
        <f t="shared" si="21"/>
        <v>5760</v>
      </c>
    </row>
    <row r="231" spans="2:9">
      <c r="B231" s="223">
        <v>650000</v>
      </c>
      <c r="C231" s="126">
        <v>20</v>
      </c>
      <c r="D231" s="72"/>
      <c r="E231" s="225">
        <f t="shared" si="18"/>
        <v>520000</v>
      </c>
      <c r="F231" s="226">
        <v>2</v>
      </c>
      <c r="G231" s="227">
        <f t="shared" si="19"/>
        <v>530400</v>
      </c>
      <c r="H231" s="228">
        <f t="shared" si="20"/>
        <v>10400</v>
      </c>
      <c r="I231" s="229">
        <f t="shared" si="21"/>
        <v>6240</v>
      </c>
    </row>
    <row r="232" spans="2:9">
      <c r="B232" s="223">
        <v>700000</v>
      </c>
      <c r="C232" s="126">
        <v>20</v>
      </c>
      <c r="D232" s="72"/>
      <c r="E232" s="225">
        <f t="shared" si="18"/>
        <v>560000</v>
      </c>
      <c r="F232" s="226">
        <v>2</v>
      </c>
      <c r="G232" s="227">
        <f t="shared" si="19"/>
        <v>571200</v>
      </c>
      <c r="H232" s="228">
        <f t="shared" si="20"/>
        <v>11200</v>
      </c>
      <c r="I232" s="229">
        <f t="shared" si="21"/>
        <v>6720</v>
      </c>
    </row>
    <row r="233" spans="2:9">
      <c r="B233" s="223">
        <v>750000</v>
      </c>
      <c r="C233" s="126">
        <v>20</v>
      </c>
      <c r="D233" s="72"/>
      <c r="E233" s="225">
        <f t="shared" si="18"/>
        <v>600000</v>
      </c>
      <c r="F233" s="226">
        <v>2</v>
      </c>
      <c r="G233" s="227">
        <f t="shared" si="19"/>
        <v>612000</v>
      </c>
      <c r="H233" s="228">
        <f t="shared" si="20"/>
        <v>12000</v>
      </c>
      <c r="I233" s="229">
        <f t="shared" si="21"/>
        <v>7200</v>
      </c>
    </row>
    <row r="234" spans="2:9">
      <c r="B234" s="223">
        <v>800000</v>
      </c>
      <c r="C234" s="126">
        <v>20</v>
      </c>
      <c r="D234" s="72"/>
      <c r="E234" s="225">
        <f t="shared" si="18"/>
        <v>640000</v>
      </c>
      <c r="F234" s="226">
        <v>2</v>
      </c>
      <c r="G234" s="227">
        <f t="shared" si="19"/>
        <v>652800</v>
      </c>
      <c r="H234" s="228">
        <f t="shared" si="20"/>
        <v>12800</v>
      </c>
      <c r="I234" s="229">
        <f t="shared" si="21"/>
        <v>7680</v>
      </c>
    </row>
    <row r="235" spans="2:9">
      <c r="B235" s="223">
        <v>850000</v>
      </c>
      <c r="C235" s="126">
        <v>20</v>
      </c>
      <c r="E235" s="225">
        <f t="shared" si="18"/>
        <v>680000</v>
      </c>
      <c r="F235" s="226">
        <v>2</v>
      </c>
      <c r="G235" s="227">
        <f t="shared" si="19"/>
        <v>693600</v>
      </c>
      <c r="H235" s="228">
        <f t="shared" si="20"/>
        <v>13600</v>
      </c>
      <c r="I235" s="229">
        <f t="shared" si="21"/>
        <v>8160</v>
      </c>
    </row>
    <row r="236" spans="2:9">
      <c r="B236" s="223">
        <v>900000</v>
      </c>
      <c r="C236" s="126">
        <v>20</v>
      </c>
      <c r="E236" s="225">
        <f t="shared" si="18"/>
        <v>720000</v>
      </c>
      <c r="F236" s="226">
        <v>2</v>
      </c>
      <c r="G236" s="227">
        <f t="shared" si="19"/>
        <v>734400</v>
      </c>
      <c r="H236" s="228">
        <f t="shared" si="20"/>
        <v>14400</v>
      </c>
      <c r="I236" s="229">
        <f t="shared" si="21"/>
        <v>8640</v>
      </c>
    </row>
    <row r="237" spans="2:9">
      <c r="B237" s="223">
        <v>950000</v>
      </c>
      <c r="C237" s="126">
        <v>20</v>
      </c>
      <c r="E237" s="225">
        <f t="shared" si="18"/>
        <v>760000</v>
      </c>
      <c r="F237" s="226">
        <v>2</v>
      </c>
      <c r="G237" s="227">
        <f t="shared" si="19"/>
        <v>775200</v>
      </c>
      <c r="H237" s="228">
        <f t="shared" si="20"/>
        <v>15200</v>
      </c>
      <c r="I237" s="229">
        <f t="shared" si="21"/>
        <v>9120</v>
      </c>
    </row>
    <row r="238" spans="2:9">
      <c r="B238" s="223">
        <v>1000000</v>
      </c>
      <c r="C238" s="126">
        <v>20</v>
      </c>
      <c r="E238" s="225">
        <f t="shared" si="18"/>
        <v>800000</v>
      </c>
      <c r="F238" s="226">
        <v>2</v>
      </c>
      <c r="G238" s="227">
        <f t="shared" si="19"/>
        <v>816000</v>
      </c>
      <c r="H238" s="228">
        <f t="shared" si="20"/>
        <v>16000</v>
      </c>
      <c r="I238" s="229">
        <f t="shared" si="21"/>
        <v>9600</v>
      </c>
    </row>
    <row r="239" spans="2:9">
      <c r="B239" s="223">
        <v>1100000</v>
      </c>
      <c r="C239" s="126">
        <v>20</v>
      </c>
      <c r="E239" s="225">
        <f t="shared" si="18"/>
        <v>880000</v>
      </c>
      <c r="F239" s="226">
        <v>2</v>
      </c>
      <c r="G239" s="227">
        <f t="shared" si="19"/>
        <v>897600</v>
      </c>
      <c r="H239" s="228">
        <f t="shared" si="20"/>
        <v>17600</v>
      </c>
      <c r="I239" s="229">
        <f t="shared" si="21"/>
        <v>10560</v>
      </c>
    </row>
    <row r="240" spans="2:9">
      <c r="B240" s="223">
        <v>1200000</v>
      </c>
      <c r="C240" s="126">
        <v>20</v>
      </c>
      <c r="E240" s="225">
        <f t="shared" si="18"/>
        <v>960000</v>
      </c>
      <c r="F240" s="226">
        <v>2</v>
      </c>
      <c r="G240" s="227">
        <f t="shared" si="19"/>
        <v>979200</v>
      </c>
      <c r="H240" s="228">
        <f t="shared" si="20"/>
        <v>19200</v>
      </c>
      <c r="I240" s="229">
        <f t="shared" si="21"/>
        <v>11520</v>
      </c>
    </row>
    <row r="241" spans="2:9">
      <c r="B241" s="223">
        <v>1300000</v>
      </c>
      <c r="C241" s="126">
        <v>20</v>
      </c>
      <c r="E241" s="225">
        <f t="shared" si="18"/>
        <v>1040000</v>
      </c>
      <c r="F241" s="226">
        <v>2</v>
      </c>
      <c r="G241" s="227">
        <f t="shared" si="19"/>
        <v>1060800</v>
      </c>
      <c r="H241" s="228">
        <f t="shared" si="20"/>
        <v>20800</v>
      </c>
      <c r="I241" s="229">
        <f t="shared" si="21"/>
        <v>12480</v>
      </c>
    </row>
    <row r="242" spans="2:9">
      <c r="B242" s="223">
        <v>1400000</v>
      </c>
      <c r="C242" s="126">
        <v>20</v>
      </c>
      <c r="E242" s="225">
        <f t="shared" si="18"/>
        <v>1120000</v>
      </c>
      <c r="F242" s="226">
        <v>2</v>
      </c>
      <c r="G242" s="227">
        <f t="shared" si="19"/>
        <v>1142400</v>
      </c>
      <c r="H242" s="228">
        <f t="shared" si="20"/>
        <v>22400</v>
      </c>
      <c r="I242" s="229">
        <f t="shared" si="21"/>
        <v>13440</v>
      </c>
    </row>
    <row r="243" spans="2:9">
      <c r="B243" s="223">
        <v>1500000</v>
      </c>
      <c r="C243" s="126">
        <v>20</v>
      </c>
      <c r="E243" s="225">
        <f t="shared" si="18"/>
        <v>1200000</v>
      </c>
      <c r="F243" s="226">
        <v>2</v>
      </c>
      <c r="G243" s="227">
        <f t="shared" si="19"/>
        <v>1224000</v>
      </c>
      <c r="H243" s="228">
        <f t="shared" si="20"/>
        <v>24000</v>
      </c>
      <c r="I243" s="229">
        <f t="shared" si="21"/>
        <v>14400</v>
      </c>
    </row>
    <row r="244" spans="2:9">
      <c r="B244" s="223">
        <v>1600000</v>
      </c>
      <c r="C244" s="126">
        <v>20</v>
      </c>
      <c r="E244" s="225">
        <f t="shared" si="18"/>
        <v>1280000</v>
      </c>
      <c r="F244" s="226">
        <v>2</v>
      </c>
      <c r="G244" s="227">
        <f t="shared" si="19"/>
        <v>1305600</v>
      </c>
      <c r="H244" s="228">
        <f t="shared" si="20"/>
        <v>25600</v>
      </c>
      <c r="I244" s="229">
        <f t="shared" si="21"/>
        <v>15360</v>
      </c>
    </row>
    <row r="245" spans="2:9">
      <c r="B245" s="223">
        <v>1700000</v>
      </c>
      <c r="C245" s="126">
        <v>20</v>
      </c>
      <c r="E245" s="225">
        <f t="shared" si="18"/>
        <v>1360000</v>
      </c>
      <c r="F245" s="226">
        <v>2</v>
      </c>
      <c r="G245" s="227">
        <f t="shared" si="19"/>
        <v>1387200</v>
      </c>
      <c r="H245" s="228">
        <f t="shared" si="20"/>
        <v>27200</v>
      </c>
      <c r="I245" s="229">
        <f t="shared" si="21"/>
        <v>16320</v>
      </c>
    </row>
    <row r="246" spans="2:9">
      <c r="B246" s="223">
        <v>1800000</v>
      </c>
      <c r="C246" s="126">
        <v>20</v>
      </c>
      <c r="E246" s="225">
        <f t="shared" si="18"/>
        <v>1440000</v>
      </c>
      <c r="F246" s="226">
        <v>2</v>
      </c>
      <c r="G246" s="227">
        <f t="shared" si="19"/>
        <v>1468800</v>
      </c>
      <c r="H246" s="228">
        <f t="shared" si="20"/>
        <v>28800</v>
      </c>
      <c r="I246" s="229">
        <f t="shared" si="21"/>
        <v>17280</v>
      </c>
    </row>
    <row r="247" spans="2:9">
      <c r="B247" s="223">
        <v>1900000</v>
      </c>
      <c r="C247" s="126">
        <v>20</v>
      </c>
      <c r="E247" s="225">
        <f t="shared" si="18"/>
        <v>1520000</v>
      </c>
      <c r="F247" s="226">
        <v>2</v>
      </c>
      <c r="G247" s="227">
        <f t="shared" si="19"/>
        <v>1550400</v>
      </c>
      <c r="H247" s="228">
        <f t="shared" si="20"/>
        <v>30400</v>
      </c>
      <c r="I247" s="229">
        <f t="shared" si="21"/>
        <v>18240</v>
      </c>
    </row>
    <row r="248" spans="2:9">
      <c r="B248" s="223">
        <v>2000000</v>
      </c>
      <c r="C248" s="126">
        <v>20</v>
      </c>
      <c r="E248" s="225">
        <f t="shared" si="18"/>
        <v>1600000</v>
      </c>
      <c r="F248" s="226">
        <v>2</v>
      </c>
      <c r="G248" s="227">
        <f t="shared" si="19"/>
        <v>1632000</v>
      </c>
      <c r="H248" s="228">
        <f t="shared" si="20"/>
        <v>32000</v>
      </c>
      <c r="I248" s="229">
        <f t="shared" si="21"/>
        <v>19200</v>
      </c>
    </row>
    <row r="249" spans="2:9">
      <c r="B249" s="223">
        <v>5000000</v>
      </c>
      <c r="C249" s="126">
        <v>20</v>
      </c>
      <c r="E249" s="225">
        <f t="shared" si="18"/>
        <v>4000000</v>
      </c>
      <c r="F249" s="226">
        <v>2</v>
      </c>
      <c r="G249" s="227">
        <f t="shared" si="19"/>
        <v>4080000</v>
      </c>
      <c r="H249" s="228">
        <f t="shared" si="20"/>
        <v>80000</v>
      </c>
      <c r="I249" s="229">
        <f t="shared" si="21"/>
        <v>48000</v>
      </c>
    </row>
    <row r="250" spans="2:9">
      <c r="B250" s="223">
        <v>10000000</v>
      </c>
      <c r="C250" s="126">
        <v>20</v>
      </c>
      <c r="E250" s="225">
        <f t="shared" si="18"/>
        <v>8000000</v>
      </c>
      <c r="F250" s="226">
        <v>2</v>
      </c>
      <c r="G250" s="227">
        <f t="shared" si="19"/>
        <v>8160000</v>
      </c>
      <c r="H250" s="228">
        <f t="shared" si="20"/>
        <v>160000</v>
      </c>
      <c r="I250" s="229">
        <f t="shared" si="21"/>
        <v>96000</v>
      </c>
    </row>
    <row r="251" spans="2:9">
      <c r="B251" s="223">
        <v>15000000</v>
      </c>
      <c r="C251" s="126">
        <v>20</v>
      </c>
      <c r="E251" s="225">
        <f t="shared" si="18"/>
        <v>12000000</v>
      </c>
      <c r="F251" s="226">
        <v>2</v>
      </c>
      <c r="G251" s="227">
        <f t="shared" si="19"/>
        <v>12240000</v>
      </c>
      <c r="H251" s="228">
        <f t="shared" si="20"/>
        <v>240000</v>
      </c>
      <c r="I251" s="229">
        <f t="shared" si="21"/>
        <v>144000</v>
      </c>
    </row>
    <row r="254" spans="2:9">
      <c r="B254" s="267" t="s">
        <v>941</v>
      </c>
      <c r="C254" s="267"/>
      <c r="D254" s="267" t="s">
        <v>963</v>
      </c>
      <c r="E254" s="267"/>
      <c r="F254" s="267"/>
    </row>
    <row r="255" spans="2:9" ht="18" customHeight="1">
      <c r="B255" s="268">
        <v>1750000</v>
      </c>
      <c r="C255" s="267"/>
      <c r="D255" s="269">
        <f>(20*1750000)/100</f>
        <v>350000</v>
      </c>
      <c r="E255" s="267"/>
      <c r="F255" s="267"/>
    </row>
    <row r="256" spans="2:9">
      <c r="B256" s="267"/>
      <c r="C256" s="267"/>
      <c r="D256" s="267" t="s">
        <v>964</v>
      </c>
      <c r="E256" s="267"/>
      <c r="F256" s="267"/>
    </row>
    <row r="257" spans="2:6">
      <c r="B257" s="267"/>
      <c r="C257" s="267"/>
      <c r="D257" s="269">
        <f>B255-D255</f>
        <v>1400000</v>
      </c>
      <c r="E257" s="267"/>
      <c r="F257" s="267"/>
    </row>
    <row r="258" spans="2:6">
      <c r="B258" s="267"/>
      <c r="C258" s="267"/>
      <c r="D258" s="267" t="s">
        <v>965</v>
      </c>
      <c r="E258" s="267"/>
      <c r="F258" s="267"/>
    </row>
    <row r="259" spans="2:6">
      <c r="B259" s="267"/>
      <c r="C259" s="267"/>
      <c r="D259" s="269">
        <v>400000</v>
      </c>
      <c r="E259" s="267"/>
      <c r="F259" s="267"/>
    </row>
    <row r="260" spans="2:6">
      <c r="B260" s="267"/>
      <c r="C260" s="267"/>
      <c r="D260" s="267" t="s">
        <v>966</v>
      </c>
      <c r="E260" s="267"/>
      <c r="F260" s="267"/>
    </row>
    <row r="261" spans="2:6" ht="16" customHeight="1">
      <c r="B261" s="267"/>
      <c r="C261" s="267"/>
      <c r="D261" s="270">
        <v>1000000</v>
      </c>
      <c r="E261" s="267"/>
      <c r="F261" s="267"/>
    </row>
    <row r="262" spans="2:6">
      <c r="B262" s="267"/>
      <c r="C262" s="267"/>
      <c r="D262" s="267" t="s">
        <v>948</v>
      </c>
      <c r="E262" s="267"/>
      <c r="F262" s="267"/>
    </row>
    <row r="263" spans="2:6">
      <c r="B263" s="267"/>
      <c r="C263" s="267"/>
      <c r="D263" s="269">
        <v>35000</v>
      </c>
      <c r="E263" s="271" t="s">
        <v>967</v>
      </c>
      <c r="F263" s="267"/>
    </row>
    <row r="264" spans="2:6">
      <c r="B264" s="267"/>
      <c r="C264" s="267"/>
      <c r="D264" s="267"/>
      <c r="E264" s="267"/>
      <c r="F264" s="267"/>
    </row>
    <row r="265" spans="2:6">
      <c r="B265" s="267"/>
      <c r="C265" s="267"/>
      <c r="D265" s="267" t="s">
        <v>968</v>
      </c>
      <c r="E265" s="267"/>
      <c r="F265" s="267"/>
    </row>
    <row r="266" spans="2:6">
      <c r="B266" s="267"/>
      <c r="C266" s="267"/>
      <c r="D266" s="271" t="s">
        <v>969</v>
      </c>
      <c r="E266" s="267"/>
      <c r="F266" s="267"/>
    </row>
    <row r="267" spans="2:6">
      <c r="B267" s="267"/>
      <c r="C267" s="267"/>
      <c r="D267" s="267"/>
      <c r="E267" s="267"/>
      <c r="F267" s="267"/>
    </row>
    <row r="270" spans="2:6">
      <c r="B270" s="267" t="s">
        <v>941</v>
      </c>
      <c r="C270" s="267"/>
      <c r="D270" s="267" t="s">
        <v>963</v>
      </c>
      <c r="E270" s="267"/>
      <c r="F270" s="267"/>
    </row>
    <row r="271" spans="2:6" ht="18" customHeight="1">
      <c r="B271" s="268">
        <v>6000000</v>
      </c>
      <c r="C271" s="267"/>
      <c r="D271" s="269">
        <f>(20*B271)/100</f>
        <v>1200000</v>
      </c>
      <c r="E271" s="267"/>
      <c r="F271" s="267"/>
    </row>
    <row r="272" spans="2:6">
      <c r="B272" s="267"/>
      <c r="C272" s="267"/>
      <c r="D272" s="267" t="s">
        <v>964</v>
      </c>
      <c r="E272" s="267"/>
      <c r="F272" s="267"/>
    </row>
    <row r="273" spans="2:6" ht="16" customHeight="1">
      <c r="B273" s="267"/>
      <c r="C273" s="267"/>
      <c r="D273" s="270">
        <f>B271-D271</f>
        <v>4800000</v>
      </c>
      <c r="E273" s="267"/>
      <c r="F273" s="267"/>
    </row>
    <row r="274" spans="2:6">
      <c r="B274" s="267"/>
      <c r="C274" s="267"/>
      <c r="D274" s="267" t="s">
        <v>965</v>
      </c>
      <c r="E274" s="267"/>
      <c r="F274" s="267"/>
    </row>
    <row r="275" spans="2:6">
      <c r="B275" s="267"/>
      <c r="C275" s="267"/>
      <c r="D275" s="269">
        <v>400000</v>
      </c>
      <c r="E275" s="267"/>
      <c r="F275" s="267"/>
    </row>
    <row r="276" spans="2:6">
      <c r="B276" s="267"/>
      <c r="C276" s="267"/>
      <c r="D276" s="269" t="s">
        <v>970</v>
      </c>
      <c r="E276" s="267"/>
      <c r="F276" s="267"/>
    </row>
    <row r="277" spans="2:6">
      <c r="B277" s="267"/>
      <c r="C277" s="267"/>
      <c r="D277" s="269">
        <v>500000</v>
      </c>
      <c r="E277" s="267"/>
      <c r="F277" s="267"/>
    </row>
    <row r="278" spans="2:6">
      <c r="B278" s="267"/>
      <c r="C278" s="267"/>
      <c r="D278" s="267" t="s">
        <v>966</v>
      </c>
      <c r="E278" s="267"/>
      <c r="F278" s="267"/>
    </row>
    <row r="279" spans="2:6" ht="16" customHeight="1">
      <c r="B279" s="267"/>
      <c r="C279" s="267"/>
      <c r="D279" s="270">
        <f>D273-D275-D277</f>
        <v>3900000</v>
      </c>
      <c r="E279" s="267"/>
      <c r="F279" s="267"/>
    </row>
    <row r="280" spans="2:6">
      <c r="B280" s="267"/>
      <c r="C280" s="267"/>
      <c r="D280" s="267" t="s">
        <v>948</v>
      </c>
      <c r="E280" s="267"/>
      <c r="F280" s="267"/>
    </row>
    <row r="281" spans="2:6">
      <c r="B281" s="267"/>
      <c r="C281" s="267"/>
      <c r="D281" s="269">
        <v>35000</v>
      </c>
      <c r="E281" s="296" t="s">
        <v>971</v>
      </c>
      <c r="F281" s="267"/>
    </row>
    <row r="282" spans="2:6">
      <c r="B282" s="267"/>
      <c r="C282" s="267"/>
      <c r="D282" s="267"/>
      <c r="E282" s="267"/>
      <c r="F282" s="267"/>
    </row>
    <row r="283" spans="2:6">
      <c r="B283" s="267"/>
      <c r="C283" s="267"/>
      <c r="D283" s="267" t="s">
        <v>968</v>
      </c>
      <c r="E283" s="267"/>
      <c r="F283" s="267"/>
    </row>
    <row r="284" spans="2:6">
      <c r="B284" s="267"/>
      <c r="C284" s="267"/>
      <c r="D284" s="312">
        <f>D279/D281</f>
        <v>111.42857142857143</v>
      </c>
      <c r="E284" s="267" t="s">
        <v>56</v>
      </c>
      <c r="F284" s="267"/>
    </row>
    <row r="285" spans="2:6">
      <c r="B285" s="267"/>
      <c r="C285" s="267"/>
      <c r="D285" s="267"/>
      <c r="E285" s="267"/>
      <c r="F285" s="267"/>
    </row>
    <row r="288" spans="2:6" ht="20" customHeight="1">
      <c r="B288" s="308" t="s">
        <v>972</v>
      </c>
    </row>
    <row r="290" spans="2:5">
      <c r="B290" s="70" t="s">
        <v>973</v>
      </c>
      <c r="C290" s="70">
        <v>100000</v>
      </c>
    </row>
    <row r="292" spans="2:5">
      <c r="C292" s="310" t="s">
        <v>160</v>
      </c>
      <c r="D292" s="310" t="s">
        <v>162</v>
      </c>
      <c r="E292" s="310" t="s">
        <v>974</v>
      </c>
    </row>
    <row r="293" spans="2:5">
      <c r="B293" s="311" t="s">
        <v>23</v>
      </c>
      <c r="C293" s="72">
        <v>2000</v>
      </c>
      <c r="D293" s="72">
        <f>C293*12</f>
        <v>24000</v>
      </c>
      <c r="E293" s="309">
        <f>C290/D293</f>
        <v>4.166666666666667</v>
      </c>
    </row>
    <row r="294" spans="2:5">
      <c r="B294" s="311" t="s">
        <v>91</v>
      </c>
      <c r="C294" s="72">
        <v>700</v>
      </c>
      <c r="D294" s="72">
        <f>C294*12</f>
        <v>8400</v>
      </c>
      <c r="E294" s="72">
        <f>D294*E293</f>
        <v>35000</v>
      </c>
    </row>
    <row r="296" spans="2:5">
      <c r="C296" s="310" t="s">
        <v>160</v>
      </c>
      <c r="D296" s="310" t="s">
        <v>162</v>
      </c>
      <c r="E296" s="310" t="s">
        <v>974</v>
      </c>
    </row>
    <row r="297" spans="2:5">
      <c r="B297" s="311" t="s">
        <v>23</v>
      </c>
      <c r="C297" s="72">
        <v>1500</v>
      </c>
      <c r="D297" s="72">
        <f>C297*12</f>
        <v>18000</v>
      </c>
      <c r="E297" s="309">
        <f>C290/D297</f>
        <v>5.5555555555555554</v>
      </c>
    </row>
    <row r="298" spans="2:5">
      <c r="B298" s="311" t="s">
        <v>91</v>
      </c>
      <c r="C298" s="72">
        <v>700</v>
      </c>
      <c r="D298" s="72">
        <f>C298*12</f>
        <v>8400</v>
      </c>
      <c r="E298" s="309">
        <f>D298*E297</f>
        <v>46666.666666666664</v>
      </c>
    </row>
    <row r="304" spans="2:5" ht="20" customHeight="1">
      <c r="B304" s="308" t="s">
        <v>975</v>
      </c>
    </row>
    <row r="306" spans="2:4">
      <c r="B306" s="70" t="s">
        <v>976</v>
      </c>
      <c r="D306" s="70" t="s">
        <v>977</v>
      </c>
    </row>
    <row r="307" spans="2:4">
      <c r="B307" s="126" t="s">
        <v>978</v>
      </c>
      <c r="C307" s="70">
        <v>15000</v>
      </c>
    </row>
    <row r="308" spans="2:4">
      <c r="B308" s="126" t="s">
        <v>160</v>
      </c>
      <c r="C308" s="70">
        <v>175</v>
      </c>
    </row>
    <row r="309" spans="2:4">
      <c r="B309" s="126" t="s">
        <v>64</v>
      </c>
      <c r="C309" s="70">
        <v>4</v>
      </c>
    </row>
    <row r="311" spans="2:4">
      <c r="B311" s="70" t="s">
        <v>86</v>
      </c>
      <c r="C311" s="70">
        <f>C307+(C308*12)*4</f>
        <v>23400</v>
      </c>
      <c r="D311" s="70">
        <v>35000</v>
      </c>
    </row>
  </sheetData>
  <mergeCells count="4">
    <mergeCell ref="B190:D190"/>
    <mergeCell ref="B203:D203"/>
    <mergeCell ref="B212:D212"/>
    <mergeCell ref="B180:D180"/>
  </mergeCells>
  <pageMargins left="0.75" right="0.75" top="1" bottom="1" header="0.51180555555555496" footer="0.51180555555555496"/>
  <pageSetup paperSize="9"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AMK101"/>
  <sheetViews>
    <sheetView showGridLines="0" topLeftCell="A70" zoomScaleNormal="100" workbookViewId="0">
      <selection activeCell="P86" sqref="P86"/>
    </sheetView>
  </sheetViews>
  <sheetFormatPr baseColWidth="10" defaultColWidth="9.1640625" defaultRowHeight="13"/>
  <cols>
    <col min="1" max="1" width="3.33203125" style="70" customWidth="1"/>
    <col min="2" max="2" width="5.83203125" style="70" customWidth="1"/>
    <col min="3" max="3" width="15.33203125" style="70" customWidth="1"/>
    <col min="4" max="4" width="21.1640625" style="70" customWidth="1"/>
    <col min="5" max="5" width="5.1640625" style="70" customWidth="1"/>
    <col min="6" max="6" width="8.33203125" style="70" customWidth="1"/>
    <col min="7" max="7" width="11.5" style="70" customWidth="1"/>
    <col min="8" max="8" width="7.83203125" style="70" customWidth="1"/>
    <col min="9" max="9" width="16.1640625" style="70" customWidth="1"/>
    <col min="10" max="10" width="7.83203125" style="70" bestFit="1" customWidth="1"/>
    <col min="11" max="1025" width="11.1640625" style="70" customWidth="1"/>
  </cols>
  <sheetData>
    <row r="3" spans="2:9">
      <c r="B3" s="158" t="s">
        <v>979</v>
      </c>
    </row>
    <row r="4" spans="2:9">
      <c r="B4" s="230" t="s">
        <v>980</v>
      </c>
      <c r="C4" s="230" t="s">
        <v>327</v>
      </c>
      <c r="D4" s="230" t="s">
        <v>217</v>
      </c>
      <c r="E4" s="231"/>
      <c r="F4" s="230" t="s">
        <v>981</v>
      </c>
      <c r="G4" s="230" t="s">
        <v>982</v>
      </c>
    </row>
    <row r="5" spans="2:9">
      <c r="B5" s="70">
        <v>30</v>
      </c>
      <c r="C5" s="152">
        <v>50.43</v>
      </c>
      <c r="D5" s="152" t="s">
        <v>983</v>
      </c>
      <c r="E5" s="232"/>
      <c r="F5" s="233">
        <f>B5*C5</f>
        <v>1512.9</v>
      </c>
      <c r="G5" s="234"/>
    </row>
    <row r="6" spans="2:9">
      <c r="B6" s="70">
        <v>30</v>
      </c>
      <c r="C6" s="154">
        <v>17.649999999999999</v>
      </c>
      <c r="D6" s="154" t="s">
        <v>984</v>
      </c>
      <c r="E6" s="235"/>
      <c r="F6" s="236">
        <f>B6*C6</f>
        <v>529.5</v>
      </c>
      <c r="G6" s="234"/>
    </row>
    <row r="7" spans="2:9">
      <c r="B7" s="70">
        <v>30</v>
      </c>
      <c r="C7" s="154">
        <v>26.15</v>
      </c>
      <c r="D7" s="154" t="s">
        <v>985</v>
      </c>
      <c r="E7" s="235"/>
      <c r="F7" s="236">
        <f>B7*C7</f>
        <v>784.5</v>
      </c>
      <c r="G7" s="234"/>
    </row>
    <row r="8" spans="2:9">
      <c r="B8" s="114">
        <v>1</v>
      </c>
      <c r="C8" s="237"/>
      <c r="D8" s="237" t="s">
        <v>986</v>
      </c>
      <c r="E8" s="238"/>
      <c r="F8" s="239">
        <f>B8*C8</f>
        <v>0</v>
      </c>
      <c r="G8" s="234"/>
      <c r="H8" s="984">
        <f>SUM(F5:F8)</f>
        <v>2826.9</v>
      </c>
    </row>
    <row r="9" spans="2:9">
      <c r="B9" s="240"/>
      <c r="C9" s="240"/>
      <c r="D9" s="240" t="s">
        <v>987</v>
      </c>
      <c r="E9" s="241"/>
      <c r="F9" s="242">
        <v>235.58</v>
      </c>
      <c r="G9" s="234"/>
      <c r="H9" s="984">
        <f>SUM(F5:F9)</f>
        <v>3062.48</v>
      </c>
      <c r="I9" s="70" t="s">
        <v>988</v>
      </c>
    </row>
    <row r="10" spans="2:9">
      <c r="G10" s="243"/>
      <c r="H10" s="150"/>
    </row>
    <row r="11" spans="2:9">
      <c r="D11" s="70" t="s">
        <v>989</v>
      </c>
      <c r="E11" s="232">
        <v>4.7</v>
      </c>
      <c r="F11" s="233"/>
      <c r="G11" s="244">
        <f>(E11*H9)/100</f>
        <v>143.93656000000001</v>
      </c>
      <c r="H11" s="150"/>
    </row>
    <row r="12" spans="2:9">
      <c r="D12" s="70" t="s">
        <v>990</v>
      </c>
      <c r="E12" s="235"/>
      <c r="F12" s="236"/>
      <c r="G12" s="245">
        <f>(E12*H9)/100</f>
        <v>0</v>
      </c>
      <c r="H12" s="150"/>
    </row>
    <row r="13" spans="2:9">
      <c r="D13" s="70" t="s">
        <v>991</v>
      </c>
      <c r="E13" s="235">
        <v>1.65</v>
      </c>
      <c r="F13" s="236"/>
      <c r="G13" s="245">
        <f>(E13*H9)/100</f>
        <v>50.530919999999995</v>
      </c>
      <c r="H13" s="150"/>
    </row>
    <row r="14" spans="2:9">
      <c r="D14" s="70" t="s">
        <v>992</v>
      </c>
      <c r="E14" s="246">
        <v>17.98</v>
      </c>
      <c r="F14" s="247"/>
      <c r="G14" s="248">
        <f>(E14*H8)/100</f>
        <v>508.27662000000004</v>
      </c>
      <c r="H14" s="150"/>
    </row>
    <row r="15" spans="2:9">
      <c r="H15" s="985">
        <f>SUM(G11:G14)</f>
        <v>702.74410000000012</v>
      </c>
      <c r="I15" s="70" t="s">
        <v>993</v>
      </c>
    </row>
    <row r="17" spans="2:12">
      <c r="I17" s="249" t="s">
        <v>994</v>
      </c>
      <c r="J17" s="555">
        <f>H8-H15</f>
        <v>2124.1558999999997</v>
      </c>
    </row>
    <row r="19" spans="2:12">
      <c r="B19" s="158" t="s">
        <v>995</v>
      </c>
    </row>
    <row r="20" spans="2:12">
      <c r="B20" s="230" t="s">
        <v>980</v>
      </c>
      <c r="C20" s="230" t="s">
        <v>327</v>
      </c>
      <c r="D20" s="230" t="s">
        <v>217</v>
      </c>
      <c r="E20" s="231"/>
      <c r="F20" s="230" t="s">
        <v>981</v>
      </c>
      <c r="G20" s="230" t="s">
        <v>982</v>
      </c>
    </row>
    <row r="21" spans="2:12">
      <c r="B21" s="70">
        <v>30</v>
      </c>
      <c r="C21" s="152">
        <v>52.308</v>
      </c>
      <c r="D21" s="152" t="s">
        <v>983</v>
      </c>
      <c r="E21" s="232"/>
      <c r="F21" s="233">
        <f>B21*C21</f>
        <v>1569.24</v>
      </c>
      <c r="G21" s="234"/>
    </row>
    <row r="22" spans="2:12">
      <c r="B22" s="70">
        <v>30</v>
      </c>
      <c r="C22" s="154">
        <v>3.6579999999999999</v>
      </c>
      <c r="D22" s="154" t="s">
        <v>984</v>
      </c>
      <c r="E22" s="235"/>
      <c r="F22" s="236">
        <f>B22*C22</f>
        <v>109.74</v>
      </c>
      <c r="G22" s="234"/>
    </row>
    <row r="23" spans="2:12">
      <c r="B23" s="70">
        <v>30</v>
      </c>
      <c r="C23" s="154">
        <v>23.594999999999999</v>
      </c>
      <c r="D23" s="154" t="s">
        <v>985</v>
      </c>
      <c r="E23" s="235"/>
      <c r="F23" s="236">
        <f>B23*C23</f>
        <v>707.84999999999991</v>
      </c>
      <c r="G23" s="234"/>
    </row>
    <row r="24" spans="2:12">
      <c r="B24" s="114">
        <v>1</v>
      </c>
      <c r="C24" s="237"/>
      <c r="D24" s="237"/>
      <c r="E24" s="238"/>
      <c r="F24" s="239">
        <f>B24*C24</f>
        <v>0</v>
      </c>
      <c r="G24" s="234"/>
      <c r="H24" s="984">
        <f>SUM(F21:F24)</f>
        <v>2386.83</v>
      </c>
      <c r="L24" s="250">
        <f>J33-J17</f>
        <v>26.505390000000261</v>
      </c>
    </row>
    <row r="25" spans="2:12">
      <c r="B25" s="240"/>
      <c r="C25" s="240"/>
      <c r="D25" s="240" t="s">
        <v>987</v>
      </c>
      <c r="E25" s="241"/>
      <c r="F25" s="242">
        <v>279.83</v>
      </c>
      <c r="G25" s="234"/>
      <c r="H25" s="984">
        <f>SUM(F21:F25)</f>
        <v>2666.66</v>
      </c>
      <c r="I25" s="70" t="s">
        <v>988</v>
      </c>
    </row>
    <row r="26" spans="2:12">
      <c r="G26" s="243"/>
      <c r="H26" s="150"/>
    </row>
    <row r="27" spans="2:12">
      <c r="D27" s="70" t="s">
        <v>989</v>
      </c>
      <c r="E27" s="232">
        <v>4.7</v>
      </c>
      <c r="F27" s="233"/>
      <c r="G27" s="244">
        <f>(E27*H25)/100</f>
        <v>125.33301999999999</v>
      </c>
      <c r="H27" s="150"/>
    </row>
    <row r="28" spans="2:12">
      <c r="D28" s="70" t="s">
        <v>996</v>
      </c>
      <c r="E28" s="235"/>
      <c r="F28" s="236"/>
      <c r="G28" s="245">
        <f>(E28*H25)/100</f>
        <v>0</v>
      </c>
      <c r="H28" s="150"/>
    </row>
    <row r="29" spans="2:12">
      <c r="D29" s="70" t="s">
        <v>991</v>
      </c>
      <c r="E29" s="235">
        <v>1.65</v>
      </c>
      <c r="F29" s="236"/>
      <c r="G29" s="245">
        <f>(E29*H25)/100</f>
        <v>43.999889999999994</v>
      </c>
      <c r="H29" s="150"/>
    </row>
    <row r="30" spans="2:12">
      <c r="D30" s="70" t="s">
        <v>992</v>
      </c>
      <c r="E30" s="246">
        <v>13</v>
      </c>
      <c r="F30" s="247"/>
      <c r="G30" s="248">
        <f>(E30*H25)/100</f>
        <v>346.66579999999999</v>
      </c>
      <c r="H30" s="150"/>
    </row>
    <row r="31" spans="2:12">
      <c r="H31" s="985">
        <f>SUM(G27:G30)</f>
        <v>515.99870999999996</v>
      </c>
      <c r="I31" s="70" t="s">
        <v>993</v>
      </c>
    </row>
    <row r="33" spans="2:12">
      <c r="I33" s="249" t="s">
        <v>994</v>
      </c>
      <c r="J33" s="555">
        <f>H25-H31</f>
        <v>2150.66129</v>
      </c>
    </row>
    <row r="35" spans="2:12">
      <c r="B35" s="251" t="s">
        <v>997</v>
      </c>
    </row>
    <row r="36" spans="2:12">
      <c r="B36" s="230" t="s">
        <v>980</v>
      </c>
      <c r="C36" s="230" t="s">
        <v>327</v>
      </c>
      <c r="D36" s="230" t="s">
        <v>217</v>
      </c>
      <c r="E36" s="231"/>
      <c r="F36" s="230" t="s">
        <v>981</v>
      </c>
      <c r="G36" s="230" t="s">
        <v>982</v>
      </c>
    </row>
    <row r="37" spans="2:12">
      <c r="B37" s="70">
        <v>30</v>
      </c>
      <c r="C37" s="152">
        <v>52.308</v>
      </c>
      <c r="D37" s="152" t="s">
        <v>983</v>
      </c>
      <c r="E37" s="232"/>
      <c r="F37" s="233">
        <f>B37*C37</f>
        <v>1569.24</v>
      </c>
      <c r="G37" s="234"/>
    </row>
    <row r="38" spans="2:12">
      <c r="B38" s="70">
        <v>30</v>
      </c>
      <c r="C38" s="154">
        <v>3.6579999999999999</v>
      </c>
      <c r="D38" s="154" t="s">
        <v>984</v>
      </c>
      <c r="E38" s="235"/>
      <c r="F38" s="236">
        <f>B38*C38</f>
        <v>109.74</v>
      </c>
      <c r="G38" s="234"/>
    </row>
    <row r="39" spans="2:12">
      <c r="B39" s="70">
        <v>30</v>
      </c>
      <c r="C39" s="154">
        <v>15.462999999999999</v>
      </c>
      <c r="D39" s="154" t="s">
        <v>985</v>
      </c>
      <c r="E39" s="235"/>
      <c r="F39" s="236">
        <f>B39*C39</f>
        <v>463.89</v>
      </c>
      <c r="G39" s="234"/>
    </row>
    <row r="40" spans="2:12">
      <c r="B40" s="114">
        <v>1</v>
      </c>
      <c r="C40" s="237">
        <v>32.619999999999997</v>
      </c>
      <c r="D40" s="237" t="s">
        <v>986</v>
      </c>
      <c r="E40" s="238"/>
      <c r="F40" s="239">
        <f>B40*C40</f>
        <v>32.619999999999997</v>
      </c>
      <c r="G40" s="234"/>
      <c r="H40" s="984">
        <f>SUM(F37:F40)</f>
        <v>2175.4899999999998</v>
      </c>
      <c r="I40" s="70" t="s">
        <v>988</v>
      </c>
      <c r="L40" s="252">
        <f>J49-J33</f>
        <v>-440.56189500000028</v>
      </c>
    </row>
    <row r="41" spans="2:12">
      <c r="B41" s="240"/>
      <c r="C41" s="240"/>
      <c r="D41" s="240" t="s">
        <v>987</v>
      </c>
      <c r="E41" s="241"/>
      <c r="F41" s="242">
        <v>357.14</v>
      </c>
      <c r="G41" s="234"/>
      <c r="H41" s="984">
        <f>SUM(F37:F41)</f>
        <v>2532.6299999999997</v>
      </c>
      <c r="I41" s="70" t="s">
        <v>998</v>
      </c>
    </row>
    <row r="42" spans="2:12" ht="6.75" customHeight="1">
      <c r="G42" s="243"/>
      <c r="H42" s="150"/>
    </row>
    <row r="43" spans="2:12">
      <c r="D43" s="70" t="s">
        <v>989</v>
      </c>
      <c r="E43" s="232">
        <v>4.7</v>
      </c>
      <c r="F43" s="233"/>
      <c r="G43" s="244">
        <f>(E43*H41)/100</f>
        <v>119.03361</v>
      </c>
      <c r="H43" s="150"/>
    </row>
    <row r="44" spans="2:12">
      <c r="D44" s="70" t="s">
        <v>990</v>
      </c>
      <c r="E44" s="235">
        <v>0.1</v>
      </c>
      <c r="F44" s="236"/>
      <c r="G44" s="245">
        <f>(E44*H41)/100</f>
        <v>2.5326299999999997</v>
      </c>
      <c r="H44" s="150"/>
    </row>
    <row r="45" spans="2:12">
      <c r="D45" s="70" t="s">
        <v>991</v>
      </c>
      <c r="E45" s="235">
        <v>1.55</v>
      </c>
      <c r="F45" s="236"/>
      <c r="G45" s="245">
        <f>(E45*H41)/100</f>
        <v>39.255764999999997</v>
      </c>
      <c r="H45" s="150"/>
    </row>
    <row r="46" spans="2:12">
      <c r="D46" s="70" t="s">
        <v>992</v>
      </c>
      <c r="E46" s="246">
        <v>14</v>
      </c>
      <c r="F46" s="247"/>
      <c r="G46" s="248">
        <f>(E46*H40)/100</f>
        <v>304.56859999999995</v>
      </c>
      <c r="H46" s="150"/>
    </row>
    <row r="47" spans="2:12">
      <c r="H47" s="985">
        <f>SUM(G43:G46)</f>
        <v>465.39060499999994</v>
      </c>
      <c r="I47" s="70" t="s">
        <v>993</v>
      </c>
    </row>
    <row r="48" spans="2:12" ht="5" customHeight="1"/>
    <row r="49" spans="2:12">
      <c r="I49" s="249" t="s">
        <v>994</v>
      </c>
      <c r="J49" s="555">
        <f>H40-H47</f>
        <v>1710.0993949999997</v>
      </c>
    </row>
    <row r="50" spans="2:12" ht="10" customHeight="1"/>
    <row r="51" spans="2:12">
      <c r="B51" s="158" t="s">
        <v>999</v>
      </c>
    </row>
    <row r="52" spans="2:12">
      <c r="B52" s="230" t="s">
        <v>980</v>
      </c>
      <c r="C52" s="230" t="s">
        <v>327</v>
      </c>
      <c r="D52" s="230" t="s">
        <v>217</v>
      </c>
      <c r="E52" s="231"/>
      <c r="F52" s="230" t="s">
        <v>981</v>
      </c>
      <c r="G52" s="230" t="s">
        <v>982</v>
      </c>
    </row>
    <row r="53" spans="2:12">
      <c r="B53" s="70">
        <v>30</v>
      </c>
      <c r="C53" s="152">
        <v>52.308</v>
      </c>
      <c r="D53" s="152" t="s">
        <v>983</v>
      </c>
      <c r="E53" s="232"/>
      <c r="F53" s="233">
        <f>B53*C53</f>
        <v>1569.24</v>
      </c>
      <c r="G53" s="234"/>
    </row>
    <row r="54" spans="2:12">
      <c r="B54" s="70">
        <v>30</v>
      </c>
      <c r="C54" s="154">
        <v>3.6579999999999999</v>
      </c>
      <c r="D54" s="154" t="s">
        <v>984</v>
      </c>
      <c r="E54" s="235"/>
      <c r="F54" s="236">
        <f>B54*C54</f>
        <v>109.74</v>
      </c>
      <c r="G54" s="234"/>
    </row>
    <row r="55" spans="2:12">
      <c r="B55" s="70">
        <v>30</v>
      </c>
      <c r="C55" s="154">
        <v>15.462999999999999</v>
      </c>
      <c r="D55" s="154" t="s">
        <v>985</v>
      </c>
      <c r="E55" s="235"/>
      <c r="F55" s="236">
        <f>B55*C55</f>
        <v>463.89</v>
      </c>
      <c r="G55" s="234"/>
    </row>
    <row r="56" spans="2:12">
      <c r="B56" s="114">
        <v>1</v>
      </c>
      <c r="C56" s="237">
        <v>22.83</v>
      </c>
      <c r="D56" s="237" t="s">
        <v>986</v>
      </c>
      <c r="E56" s="238"/>
      <c r="F56" s="239">
        <f>B56*C56</f>
        <v>22.83</v>
      </c>
      <c r="G56" s="234"/>
      <c r="H56" s="984">
        <f>SUM(F53:F56)</f>
        <v>2165.6999999999998</v>
      </c>
      <c r="I56" s="70" t="s">
        <v>988</v>
      </c>
      <c r="L56" s="252">
        <f>J65-J49</f>
        <v>-96.158294999999725</v>
      </c>
    </row>
    <row r="57" spans="2:12">
      <c r="B57" s="240"/>
      <c r="C57" s="240"/>
      <c r="D57" s="240" t="s">
        <v>987</v>
      </c>
      <c r="E57" s="241"/>
      <c r="F57" s="242">
        <v>357.14</v>
      </c>
      <c r="G57" s="234"/>
      <c r="H57" s="986">
        <f>SUM(F53:F57)</f>
        <v>2522.8399999999997</v>
      </c>
      <c r="I57" s="70" t="s">
        <v>998</v>
      </c>
    </row>
    <row r="58" spans="2:12" ht="6.75" customHeight="1">
      <c r="G58" s="243"/>
      <c r="H58" s="150"/>
    </row>
    <row r="59" spans="2:12">
      <c r="D59" s="70" t="s">
        <v>989</v>
      </c>
      <c r="E59" s="232">
        <v>4.7</v>
      </c>
      <c r="F59" s="233"/>
      <c r="G59" s="244">
        <f>(E59*H57)/100</f>
        <v>118.57347999999998</v>
      </c>
      <c r="H59" s="150"/>
    </row>
    <row r="60" spans="2:12">
      <c r="D60" s="70" t="s">
        <v>990</v>
      </c>
      <c r="E60" s="235">
        <v>0.1</v>
      </c>
      <c r="F60" s="236"/>
      <c r="G60" s="245">
        <f>(E60*H57)/100</f>
        <v>2.52284</v>
      </c>
      <c r="H60" s="150"/>
    </row>
    <row r="61" spans="2:12">
      <c r="D61" s="70" t="s">
        <v>991</v>
      </c>
      <c r="E61" s="235">
        <v>1.55</v>
      </c>
      <c r="F61" s="236"/>
      <c r="G61" s="245">
        <f>(E61*H57)/100</f>
        <v>39.104019999999998</v>
      </c>
      <c r="H61" s="150"/>
    </row>
    <row r="62" spans="2:12">
      <c r="D62" s="70" t="s">
        <v>992</v>
      </c>
      <c r="E62" s="246">
        <v>18.079999999999998</v>
      </c>
      <c r="F62" s="247"/>
      <c r="G62" s="248">
        <f>(E62*H56)/100</f>
        <v>391.55855999999994</v>
      </c>
      <c r="H62" s="150"/>
    </row>
    <row r="63" spans="2:12">
      <c r="H63" s="985">
        <f>SUM(G59:G62)</f>
        <v>551.75889999999993</v>
      </c>
      <c r="I63" s="70" t="s">
        <v>993</v>
      </c>
    </row>
    <row r="64" spans="2:12" ht="5" customHeight="1"/>
    <row r="65" spans="2:12">
      <c r="I65" s="249" t="s">
        <v>994</v>
      </c>
      <c r="J65" s="555">
        <f>H56-H63</f>
        <v>1613.9411</v>
      </c>
    </row>
    <row r="67" spans="2:12">
      <c r="B67" s="158" t="s">
        <v>1000</v>
      </c>
    </row>
    <row r="68" spans="2:12">
      <c r="B68" s="230" t="s">
        <v>980</v>
      </c>
      <c r="C68" s="230" t="s">
        <v>327</v>
      </c>
      <c r="D68" s="230" t="s">
        <v>217</v>
      </c>
      <c r="E68" s="231"/>
      <c r="F68" s="230" t="s">
        <v>981</v>
      </c>
      <c r="G68" s="230" t="s">
        <v>982</v>
      </c>
    </row>
    <row r="69" spans="2:12">
      <c r="B69" s="70">
        <v>30</v>
      </c>
      <c r="C69" s="152">
        <v>52.308</v>
      </c>
      <c r="D69" s="152" t="s">
        <v>983</v>
      </c>
      <c r="E69" s="232"/>
      <c r="F69" s="233">
        <f>B69*C69</f>
        <v>1569.24</v>
      </c>
      <c r="G69" s="234"/>
    </row>
    <row r="70" spans="2:12">
      <c r="B70" s="70">
        <v>30</v>
      </c>
      <c r="C70" s="154">
        <v>3.6579999999999999</v>
      </c>
      <c r="D70" s="154" t="s">
        <v>984</v>
      </c>
      <c r="E70" s="235"/>
      <c r="F70" s="236">
        <f>B70*C70</f>
        <v>109.74</v>
      </c>
      <c r="G70" s="234"/>
    </row>
    <row r="71" spans="2:12">
      <c r="B71" s="70">
        <v>30</v>
      </c>
      <c r="C71" s="154">
        <v>15.742000000000001</v>
      </c>
      <c r="D71" s="154" t="s">
        <v>985</v>
      </c>
      <c r="E71" s="235"/>
      <c r="F71" s="236">
        <f>B71*C71</f>
        <v>472.26000000000005</v>
      </c>
      <c r="G71" s="234"/>
    </row>
    <row r="72" spans="2:12">
      <c r="B72" s="70">
        <v>30</v>
      </c>
      <c r="C72" s="156">
        <v>3.2919999999999998</v>
      </c>
      <c r="D72" s="253" t="s">
        <v>1001</v>
      </c>
      <c r="E72" s="246"/>
      <c r="F72" s="236">
        <f>B72*C72</f>
        <v>98.759999999999991</v>
      </c>
      <c r="G72" s="234"/>
    </row>
    <row r="73" spans="2:12">
      <c r="B73" s="114">
        <v>1</v>
      </c>
      <c r="C73" s="237">
        <v>37.51</v>
      </c>
      <c r="D73" s="237" t="s">
        <v>986</v>
      </c>
      <c r="E73" s="238"/>
      <c r="F73" s="239">
        <f>B73*C73</f>
        <v>37.51</v>
      </c>
      <c r="G73" s="234"/>
      <c r="H73" s="984">
        <f>SUM(F69:F73)</f>
        <v>2287.5100000000002</v>
      </c>
      <c r="I73" s="70" t="s">
        <v>988</v>
      </c>
      <c r="L73" s="250">
        <f>J82-J65</f>
        <v>61.18007700000021</v>
      </c>
    </row>
    <row r="74" spans="2:12">
      <c r="B74" s="240"/>
      <c r="C74" s="240"/>
      <c r="D74" s="240" t="s">
        <v>987</v>
      </c>
      <c r="E74" s="241"/>
      <c r="F74" s="242">
        <v>375</v>
      </c>
      <c r="G74" s="234"/>
      <c r="H74" s="986">
        <f>SUM(F69:F74)</f>
        <v>2662.51</v>
      </c>
      <c r="I74" s="70" t="s">
        <v>998</v>
      </c>
    </row>
    <row r="75" spans="2:12">
      <c r="G75" s="243"/>
      <c r="H75" s="150"/>
    </row>
    <row r="76" spans="2:12">
      <c r="D76" s="70" t="s">
        <v>989</v>
      </c>
      <c r="E76" s="232">
        <v>4.7</v>
      </c>
      <c r="F76" s="233"/>
      <c r="G76" s="244">
        <f>(E76*H74)/100</f>
        <v>125.13797000000002</v>
      </c>
      <c r="H76" s="150"/>
    </row>
    <row r="77" spans="2:12">
      <c r="D77" s="70" t="s">
        <v>990</v>
      </c>
      <c r="E77" s="235">
        <v>0.1</v>
      </c>
      <c r="F77" s="236"/>
      <c r="G77" s="245">
        <f>(E77*H74)/100</f>
        <v>2.6625100000000002</v>
      </c>
      <c r="H77" s="150"/>
    </row>
    <row r="78" spans="2:12">
      <c r="D78" s="70" t="s">
        <v>991</v>
      </c>
      <c r="E78" s="235">
        <v>1.55</v>
      </c>
      <c r="F78" s="236"/>
      <c r="G78" s="245">
        <f>(E78*H74)/100</f>
        <v>41.268905000000004</v>
      </c>
      <c r="H78" s="150"/>
    </row>
    <row r="79" spans="2:12">
      <c r="D79" s="70" t="s">
        <v>992</v>
      </c>
      <c r="E79" s="246">
        <v>19.38</v>
      </c>
      <c r="F79" s="247"/>
      <c r="G79" s="248">
        <f>(E79*H73)/100</f>
        <v>443.31943799999999</v>
      </c>
      <c r="H79" s="150"/>
    </row>
    <row r="80" spans="2:12">
      <c r="C80" s="70">
        <f>786.16/32</f>
        <v>24.567499999999999</v>
      </c>
      <c r="H80" s="985">
        <f>SUM(G76:G79)</f>
        <v>612.388823</v>
      </c>
      <c r="I80" s="70" t="s">
        <v>993</v>
      </c>
    </row>
    <row r="82" spans="2:12">
      <c r="I82" s="249" t="s">
        <v>994</v>
      </c>
      <c r="J82" s="555">
        <f>H73-H80</f>
        <v>1675.1211770000002</v>
      </c>
    </row>
    <row r="84" spans="2:12">
      <c r="B84" s="158" t="s">
        <v>1002</v>
      </c>
    </row>
    <row r="85" spans="2:12">
      <c r="B85" s="230" t="s">
        <v>980</v>
      </c>
      <c r="C85" s="230" t="s">
        <v>327</v>
      </c>
      <c r="D85" s="230" t="s">
        <v>217</v>
      </c>
      <c r="E85" s="231"/>
      <c r="F85" s="230" t="s">
        <v>981</v>
      </c>
      <c r="G85" s="230" t="s">
        <v>982</v>
      </c>
    </row>
    <row r="86" spans="2:12">
      <c r="B86" s="70">
        <v>30</v>
      </c>
      <c r="C86" s="152">
        <v>51.323</v>
      </c>
      <c r="D86" s="152" t="s">
        <v>983</v>
      </c>
      <c r="E86" s="232"/>
      <c r="F86" s="233">
        <f>B86*C86</f>
        <v>1539.69</v>
      </c>
      <c r="G86" s="234"/>
    </row>
    <row r="87" spans="2:12">
      <c r="B87" s="70">
        <v>30</v>
      </c>
      <c r="C87" s="152">
        <v>13.492000000000001</v>
      </c>
      <c r="D87" s="152" t="s">
        <v>1003</v>
      </c>
      <c r="E87" s="232"/>
      <c r="F87" s="233">
        <f>B87*C87</f>
        <v>404.76000000000005</v>
      </c>
      <c r="G87" s="234"/>
    </row>
    <row r="88" spans="2:12">
      <c r="B88" s="70">
        <v>30</v>
      </c>
      <c r="C88" s="154">
        <v>3.4239999999999999</v>
      </c>
      <c r="D88" s="154" t="s">
        <v>984</v>
      </c>
      <c r="E88" s="235"/>
      <c r="F88" s="236">
        <f>B88*C88</f>
        <v>102.72</v>
      </c>
      <c r="G88" s="234"/>
    </row>
    <row r="89" spans="2:12">
      <c r="B89" s="70">
        <v>32</v>
      </c>
      <c r="C89" s="154">
        <v>24.567499999999999</v>
      </c>
      <c r="D89" s="154" t="s">
        <v>1004</v>
      </c>
      <c r="E89" s="235"/>
      <c r="F89" s="236">
        <f>B89*C89</f>
        <v>786.16</v>
      </c>
      <c r="G89" s="234"/>
    </row>
    <row r="90" spans="2:12">
      <c r="C90" s="156"/>
      <c r="D90" s="156" t="s">
        <v>1005</v>
      </c>
      <c r="E90" s="246"/>
      <c r="F90" s="236">
        <v>-72</v>
      </c>
      <c r="G90" s="234"/>
    </row>
    <row r="91" spans="2:12">
      <c r="C91" s="156"/>
      <c r="D91" s="156" t="s">
        <v>137</v>
      </c>
      <c r="E91" s="246"/>
      <c r="F91" s="236">
        <v>-25</v>
      </c>
      <c r="G91" s="234"/>
    </row>
    <row r="92" spans="2:12">
      <c r="B92" s="114">
        <v>1</v>
      </c>
      <c r="C92" s="237"/>
      <c r="D92" s="237" t="s">
        <v>1006</v>
      </c>
      <c r="E92" s="238"/>
      <c r="F92" s="239">
        <v>182.4</v>
      </c>
      <c r="G92" s="234"/>
      <c r="H92" s="986">
        <f>SUM(F86:F91)</f>
        <v>2736.33</v>
      </c>
      <c r="I92" s="70" t="s">
        <v>988</v>
      </c>
    </row>
    <row r="93" spans="2:12">
      <c r="B93" s="240"/>
      <c r="C93" s="240"/>
      <c r="D93" s="240"/>
      <c r="E93" s="241"/>
      <c r="F93" s="242"/>
      <c r="G93" s="234"/>
      <c r="H93" s="986">
        <f>SUM(F86:F89)</f>
        <v>2833.33</v>
      </c>
      <c r="I93" s="70" t="s">
        <v>998</v>
      </c>
      <c r="L93" s="250">
        <f>J101-J82</f>
        <v>603.14524000000006</v>
      </c>
    </row>
    <row r="94" spans="2:12">
      <c r="G94" s="243"/>
      <c r="H94" s="150"/>
    </row>
    <row r="95" spans="2:12">
      <c r="D95" s="70" t="s">
        <v>989</v>
      </c>
      <c r="E95" s="232">
        <v>4.7</v>
      </c>
      <c r="F95" s="233"/>
      <c r="G95" s="244">
        <f>(E95*H93)/100</f>
        <v>133.16650999999999</v>
      </c>
      <c r="H95" s="150"/>
    </row>
    <row r="96" spans="2:12">
      <c r="D96" s="70" t="s">
        <v>990</v>
      </c>
      <c r="E96" s="235">
        <v>0.1</v>
      </c>
      <c r="F96" s="236"/>
      <c r="G96" s="245">
        <v>2.87</v>
      </c>
      <c r="H96" s="150"/>
    </row>
    <row r="97" spans="4:10">
      <c r="D97" s="70" t="s">
        <v>991</v>
      </c>
      <c r="E97" s="235">
        <v>1.55</v>
      </c>
      <c r="F97" s="236"/>
      <c r="G97" s="245">
        <v>44.45</v>
      </c>
      <c r="H97" s="150"/>
    </row>
    <row r="98" spans="4:10">
      <c r="D98" s="70" t="s">
        <v>992</v>
      </c>
      <c r="E98" s="246">
        <v>16.809999999999999</v>
      </c>
      <c r="F98" s="247"/>
      <c r="G98" s="248">
        <f>(E98*H92)/100</f>
        <v>459.97707299999996</v>
      </c>
      <c r="H98" s="150"/>
    </row>
    <row r="99" spans="4:10">
      <c r="H99" s="985">
        <f>SUM(G95:G98)</f>
        <v>640.46358299999997</v>
      </c>
      <c r="I99" s="70" t="s">
        <v>993</v>
      </c>
    </row>
    <row r="101" spans="4:10">
      <c r="I101" s="249" t="s">
        <v>994</v>
      </c>
      <c r="J101" s="555">
        <f>H92-H99+F92</f>
        <v>2278.2664170000003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E65"/>
  <sheetViews>
    <sheetView showGridLines="0" topLeftCell="A34" zoomScaleNormal="100" workbookViewId="0">
      <selection activeCell="D65" sqref="D65:E65"/>
    </sheetView>
  </sheetViews>
  <sheetFormatPr baseColWidth="10" defaultColWidth="9.1640625" defaultRowHeight="14"/>
  <cols>
    <col min="2" max="2" width="7" bestFit="1" customWidth="1"/>
    <col min="3" max="3" width="54.5" customWidth="1"/>
    <col min="4" max="4" width="12.1640625" style="413" bestFit="1" customWidth="1"/>
    <col min="5" max="5" width="16" customWidth="1"/>
    <col min="6" max="6" width="22.33203125" customWidth="1"/>
    <col min="7" max="7" width="0" hidden="1"/>
    <col min="8" max="8" width="57" customWidth="1"/>
    <col min="9" max="9" width="0" hidden="1"/>
    <col min="10" max="257" width="11.1640625" customWidth="1"/>
  </cols>
  <sheetData>
    <row r="3" spans="2:5" ht="33" customHeight="1">
      <c r="B3" s="414" t="s">
        <v>1007</v>
      </c>
    </row>
    <row r="6" spans="2:5" s="255" customFormat="1" ht="17" customHeight="1" thickBot="1">
      <c r="B6" s="255" t="s">
        <v>1008</v>
      </c>
      <c r="C6" s="255" t="s">
        <v>240</v>
      </c>
      <c r="D6" s="443" t="s">
        <v>1009</v>
      </c>
    </row>
    <row r="7" spans="2:5">
      <c r="B7" s="415">
        <v>1997</v>
      </c>
      <c r="C7" s="416" t="s">
        <v>1010</v>
      </c>
      <c r="D7" s="417">
        <v>60</v>
      </c>
    </row>
    <row r="8" spans="2:5" ht="17" customHeight="1">
      <c r="B8" s="418">
        <v>1997</v>
      </c>
      <c r="C8" s="419" t="s">
        <v>1011</v>
      </c>
      <c r="D8" s="420">
        <v>215</v>
      </c>
    </row>
    <row r="9" spans="2:5" ht="17" customHeight="1">
      <c r="B9" s="421">
        <v>1997</v>
      </c>
      <c r="C9" s="422" t="s">
        <v>1012</v>
      </c>
      <c r="D9" s="423">
        <v>1805</v>
      </c>
      <c r="E9" t="s">
        <v>134</v>
      </c>
    </row>
    <row r="10" spans="2:5" ht="17" customHeight="1">
      <c r="B10" s="418">
        <v>1997</v>
      </c>
      <c r="C10" s="419" t="s">
        <v>1013</v>
      </c>
      <c r="D10" s="420">
        <v>545</v>
      </c>
      <c r="E10" t="s">
        <v>134</v>
      </c>
    </row>
    <row r="11" spans="2:5" ht="17" customHeight="1">
      <c r="B11" s="418">
        <v>1998</v>
      </c>
      <c r="C11" s="419" t="s">
        <v>1014</v>
      </c>
      <c r="D11" s="420">
        <v>270</v>
      </c>
      <c r="E11" t="s">
        <v>134</v>
      </c>
    </row>
    <row r="12" spans="2:5" ht="17" customHeight="1">
      <c r="B12" s="418">
        <v>1999</v>
      </c>
      <c r="C12" s="419" t="s">
        <v>1015</v>
      </c>
      <c r="D12" s="420">
        <v>515</v>
      </c>
      <c r="E12" t="s">
        <v>110</v>
      </c>
    </row>
    <row r="13" spans="2:5" ht="17" customHeight="1">
      <c r="B13" s="418">
        <v>1999</v>
      </c>
      <c r="C13" s="419" t="s">
        <v>1016</v>
      </c>
      <c r="D13" s="420">
        <v>3000</v>
      </c>
      <c r="E13" t="s">
        <v>1017</v>
      </c>
    </row>
    <row r="14" spans="2:5" ht="17" customHeight="1">
      <c r="B14" s="424">
        <v>1999</v>
      </c>
      <c r="C14" s="425" t="s">
        <v>1018</v>
      </c>
      <c r="D14" s="426">
        <v>250</v>
      </c>
      <c r="E14" t="s">
        <v>134</v>
      </c>
    </row>
    <row r="15" spans="2:5" ht="17" customHeight="1">
      <c r="B15" s="418">
        <v>1999</v>
      </c>
      <c r="C15" s="419" t="s">
        <v>1019</v>
      </c>
      <c r="D15" s="420">
        <v>150</v>
      </c>
      <c r="E15" t="s">
        <v>134</v>
      </c>
    </row>
    <row r="16" spans="2:5" ht="17" customHeight="1">
      <c r="B16" s="421">
        <v>2000</v>
      </c>
      <c r="C16" s="422" t="s">
        <v>1020</v>
      </c>
      <c r="D16" s="423">
        <v>2400</v>
      </c>
      <c r="E16" t="s">
        <v>134</v>
      </c>
    </row>
    <row r="17" spans="2:5" ht="17" customHeight="1">
      <c r="B17" s="421">
        <v>2003</v>
      </c>
      <c r="C17" s="422" t="s">
        <v>1021</v>
      </c>
      <c r="D17" s="423">
        <v>1000</v>
      </c>
      <c r="E17" t="s">
        <v>134</v>
      </c>
    </row>
    <row r="18" spans="2:5" ht="17" customHeight="1">
      <c r="B18" s="427">
        <v>2003</v>
      </c>
      <c r="C18" s="428" t="s">
        <v>1022</v>
      </c>
      <c r="D18" s="429">
        <v>600</v>
      </c>
      <c r="E18" t="s">
        <v>134</v>
      </c>
    </row>
    <row r="19" spans="2:5" ht="17" customHeight="1">
      <c r="B19" s="437">
        <v>2003</v>
      </c>
      <c r="C19" s="438" t="s">
        <v>1023</v>
      </c>
      <c r="D19" s="439">
        <v>25000</v>
      </c>
      <c r="E19" s="528" t="s">
        <v>1024</v>
      </c>
    </row>
    <row r="20" spans="2:5" ht="17" customHeight="1">
      <c r="B20" s="418">
        <v>2004</v>
      </c>
      <c r="C20" s="419" t="s">
        <v>1025</v>
      </c>
      <c r="D20" s="420">
        <v>100</v>
      </c>
      <c r="E20" t="s">
        <v>1026</v>
      </c>
    </row>
    <row r="21" spans="2:5" ht="17" customHeight="1">
      <c r="B21" s="418">
        <v>2004</v>
      </c>
      <c r="C21" s="419" t="s">
        <v>1027</v>
      </c>
      <c r="D21" s="420">
        <v>525</v>
      </c>
      <c r="E21" t="s">
        <v>110</v>
      </c>
    </row>
    <row r="22" spans="2:5" ht="17" customHeight="1">
      <c r="B22" s="418">
        <v>2004</v>
      </c>
      <c r="C22" s="419" t="s">
        <v>1028</v>
      </c>
      <c r="D22" s="420">
        <v>800</v>
      </c>
      <c r="E22" t="s">
        <v>1017</v>
      </c>
    </row>
    <row r="23" spans="2:5" ht="17" customHeight="1">
      <c r="B23" s="424">
        <v>2004</v>
      </c>
      <c r="C23" s="425" t="s">
        <v>1029</v>
      </c>
      <c r="D23" s="426">
        <v>1000</v>
      </c>
      <c r="E23" t="s">
        <v>134</v>
      </c>
    </row>
    <row r="24" spans="2:5" ht="17" customHeight="1">
      <c r="B24" s="421">
        <v>2005</v>
      </c>
      <c r="C24" s="422" t="s">
        <v>1030</v>
      </c>
      <c r="D24" s="423">
        <v>1000</v>
      </c>
      <c r="E24" t="s">
        <v>134</v>
      </c>
    </row>
    <row r="25" spans="2:5" ht="17" customHeight="1">
      <c r="B25" s="421">
        <v>2005</v>
      </c>
      <c r="C25" s="422" t="s">
        <v>1031</v>
      </c>
      <c r="D25" s="423">
        <v>1300</v>
      </c>
      <c r="E25" t="s">
        <v>134</v>
      </c>
    </row>
    <row r="26" spans="2:5" ht="17" customHeight="1">
      <c r="B26" s="430">
        <v>2006</v>
      </c>
      <c r="C26" s="431" t="s">
        <v>1032</v>
      </c>
      <c r="D26" s="432">
        <v>550</v>
      </c>
      <c r="E26" t="s">
        <v>134</v>
      </c>
    </row>
    <row r="27" spans="2:5" ht="17" customHeight="1">
      <c r="B27" s="430">
        <v>2006</v>
      </c>
      <c r="C27" s="431" t="s">
        <v>1033</v>
      </c>
      <c r="D27" s="432">
        <v>300</v>
      </c>
      <c r="E27" t="s">
        <v>134</v>
      </c>
    </row>
    <row r="28" spans="2:5" ht="17" customHeight="1">
      <c r="B28" s="427">
        <v>2006</v>
      </c>
      <c r="C28" s="428" t="s">
        <v>1034</v>
      </c>
      <c r="D28" s="429">
        <v>900</v>
      </c>
      <c r="E28" t="s">
        <v>134</v>
      </c>
    </row>
    <row r="29" spans="2:5" ht="17" customHeight="1">
      <c r="B29" s="427">
        <v>2007</v>
      </c>
      <c r="C29" s="428" t="s">
        <v>1035</v>
      </c>
      <c r="D29" s="429">
        <v>450</v>
      </c>
      <c r="E29" t="s">
        <v>134</v>
      </c>
    </row>
    <row r="30" spans="2:5" ht="17" customHeight="1">
      <c r="B30" s="424">
        <v>2007</v>
      </c>
      <c r="C30" s="425" t="s">
        <v>1036</v>
      </c>
      <c r="D30" s="426">
        <v>350</v>
      </c>
      <c r="E30" t="s">
        <v>134</v>
      </c>
    </row>
    <row r="31" spans="2:5" ht="17" customHeight="1">
      <c r="B31" s="430">
        <v>2007</v>
      </c>
      <c r="C31" s="431" t="s">
        <v>1037</v>
      </c>
      <c r="D31" s="432">
        <v>230</v>
      </c>
      <c r="E31" t="s">
        <v>134</v>
      </c>
    </row>
    <row r="32" spans="2:5" ht="17" customHeight="1">
      <c r="B32" s="418">
        <v>2008</v>
      </c>
      <c r="C32" s="419" t="s">
        <v>1038</v>
      </c>
      <c r="D32" s="420">
        <v>700</v>
      </c>
      <c r="E32" t="s">
        <v>1017</v>
      </c>
    </row>
    <row r="33" spans="2:5" ht="17" customHeight="1">
      <c r="B33" s="424">
        <v>2008</v>
      </c>
      <c r="C33" s="425" t="s">
        <v>1039</v>
      </c>
      <c r="D33" s="426">
        <v>780</v>
      </c>
      <c r="E33" t="s">
        <v>134</v>
      </c>
    </row>
    <row r="34" spans="2:5" ht="17" customHeight="1">
      <c r="B34" s="418">
        <v>2008</v>
      </c>
      <c r="C34" s="433" t="s">
        <v>1040</v>
      </c>
      <c r="D34" s="420">
        <v>300</v>
      </c>
      <c r="E34" t="s">
        <v>134</v>
      </c>
    </row>
    <row r="35" spans="2:5" ht="17" customHeight="1">
      <c r="B35" s="418">
        <v>2008</v>
      </c>
      <c r="C35" s="419" t="s">
        <v>1041</v>
      </c>
      <c r="D35" s="420">
        <v>150</v>
      </c>
      <c r="E35" t="s">
        <v>134</v>
      </c>
    </row>
    <row r="36" spans="2:5" ht="17" customHeight="1">
      <c r="B36" s="421">
        <v>2008</v>
      </c>
      <c r="C36" s="422" t="s">
        <v>1042</v>
      </c>
      <c r="D36" s="423">
        <v>850</v>
      </c>
      <c r="E36" t="s">
        <v>134</v>
      </c>
    </row>
    <row r="37" spans="2:5" ht="17" customHeight="1">
      <c r="B37" s="434">
        <v>2008</v>
      </c>
      <c r="C37" s="435" t="s">
        <v>1043</v>
      </c>
      <c r="D37" s="436">
        <v>450</v>
      </c>
      <c r="E37" t="s">
        <v>134</v>
      </c>
    </row>
    <row r="38" spans="2:5" ht="17" customHeight="1">
      <c r="B38" s="437">
        <v>2009</v>
      </c>
      <c r="C38" s="438" t="s">
        <v>1044</v>
      </c>
      <c r="D38" s="439">
        <v>18650</v>
      </c>
      <c r="E38" s="528" t="s">
        <v>1024</v>
      </c>
    </row>
    <row r="39" spans="2:5" ht="17" customHeight="1">
      <c r="B39" s="437">
        <v>2013</v>
      </c>
      <c r="C39" s="438" t="s">
        <v>1045</v>
      </c>
      <c r="D39" s="439">
        <v>9300</v>
      </c>
      <c r="E39" s="528" t="s">
        <v>1024</v>
      </c>
    </row>
    <row r="40" spans="2:5" ht="17" customHeight="1">
      <c r="B40" s="424">
        <v>2015</v>
      </c>
      <c r="C40" s="425" t="s">
        <v>1046</v>
      </c>
      <c r="D40" s="426">
        <v>150</v>
      </c>
      <c r="E40" t="s">
        <v>134</v>
      </c>
    </row>
    <row r="41" spans="2:5" ht="17" customHeight="1">
      <c r="B41" s="421">
        <v>2015</v>
      </c>
      <c r="C41" s="422" t="s">
        <v>1047</v>
      </c>
      <c r="D41" s="423">
        <v>1400</v>
      </c>
      <c r="E41" t="s">
        <v>134</v>
      </c>
    </row>
    <row r="42" spans="2:5" ht="17" customHeight="1">
      <c r="B42" s="434">
        <v>2015</v>
      </c>
      <c r="C42" s="435" t="s">
        <v>1048</v>
      </c>
      <c r="D42" s="436">
        <v>350</v>
      </c>
      <c r="E42" t="s">
        <v>134</v>
      </c>
    </row>
    <row r="43" spans="2:5" ht="17" customHeight="1">
      <c r="B43" s="424">
        <v>2015</v>
      </c>
      <c r="C43" s="425" t="s">
        <v>1049</v>
      </c>
      <c r="D43" s="426">
        <v>550</v>
      </c>
      <c r="E43" t="s">
        <v>134</v>
      </c>
    </row>
    <row r="44" spans="2:5" ht="17" customHeight="1">
      <c r="B44" s="418">
        <v>2015</v>
      </c>
      <c r="C44" s="419" t="s">
        <v>1050</v>
      </c>
      <c r="D44" s="420">
        <v>360</v>
      </c>
      <c r="E44" t="s">
        <v>134</v>
      </c>
    </row>
    <row r="45" spans="2:5" ht="17" customHeight="1">
      <c r="B45" s="437">
        <v>2016</v>
      </c>
      <c r="C45" s="438" t="s">
        <v>1051</v>
      </c>
      <c r="D45" s="439">
        <v>10600</v>
      </c>
      <c r="E45" s="528" t="s">
        <v>1024</v>
      </c>
    </row>
    <row r="46" spans="2:5" ht="17" customHeight="1">
      <c r="B46" s="434">
        <v>2017</v>
      </c>
      <c r="C46" s="435" t="s">
        <v>1052</v>
      </c>
      <c r="D46" s="436">
        <v>500</v>
      </c>
      <c r="E46" t="s">
        <v>134</v>
      </c>
    </row>
    <row r="47" spans="2:5" ht="17" customHeight="1">
      <c r="B47" s="421">
        <v>2017</v>
      </c>
      <c r="C47" s="422" t="s">
        <v>1053</v>
      </c>
      <c r="D47" s="423">
        <v>2250</v>
      </c>
      <c r="E47" t="s">
        <v>134</v>
      </c>
    </row>
    <row r="48" spans="2:5" ht="17" customHeight="1">
      <c r="B48" s="434">
        <v>2018</v>
      </c>
      <c r="C48" s="435" t="s">
        <v>1054</v>
      </c>
      <c r="D48" s="436">
        <v>1250</v>
      </c>
      <c r="E48" t="s">
        <v>134</v>
      </c>
    </row>
    <row r="49" spans="2:5" ht="17" customHeight="1">
      <c r="B49" s="418">
        <v>2018</v>
      </c>
      <c r="C49" s="433" t="s">
        <v>1055</v>
      </c>
      <c r="D49" s="420">
        <v>380</v>
      </c>
      <c r="E49" t="s">
        <v>134</v>
      </c>
    </row>
    <row r="50" spans="2:5" ht="17" customHeight="1">
      <c r="B50" s="418">
        <v>2019</v>
      </c>
      <c r="C50" s="433" t="s">
        <v>1056</v>
      </c>
      <c r="D50" s="420">
        <v>415</v>
      </c>
      <c r="E50" t="s">
        <v>134</v>
      </c>
    </row>
    <row r="51" spans="2:5" ht="17" customHeight="1">
      <c r="B51" s="418">
        <v>2020</v>
      </c>
      <c r="C51" s="433" t="s">
        <v>1057</v>
      </c>
      <c r="D51" s="420">
        <v>1100</v>
      </c>
      <c r="E51" t="s">
        <v>134</v>
      </c>
    </row>
    <row r="52" spans="2:5" ht="17" customHeight="1">
      <c r="B52" s="418">
        <v>2021</v>
      </c>
      <c r="C52" s="433" t="s">
        <v>1058</v>
      </c>
      <c r="D52" s="420">
        <v>250</v>
      </c>
      <c r="E52" t="s">
        <v>134</v>
      </c>
    </row>
    <row r="53" spans="2:5" ht="17" customHeight="1">
      <c r="B53" s="424">
        <v>2021</v>
      </c>
      <c r="C53" s="425" t="s">
        <v>1059</v>
      </c>
      <c r="D53" s="426">
        <v>130</v>
      </c>
      <c r="E53" t="s">
        <v>134</v>
      </c>
    </row>
    <row r="54" spans="2:5" ht="17" customHeight="1">
      <c r="B54" s="421">
        <v>2021</v>
      </c>
      <c r="C54" s="422" t="s">
        <v>1060</v>
      </c>
      <c r="D54" s="423">
        <v>2150</v>
      </c>
      <c r="E54" t="s">
        <v>134</v>
      </c>
    </row>
    <row r="55" spans="2:5" ht="17" customHeight="1">
      <c r="B55" s="434">
        <v>2022</v>
      </c>
      <c r="C55" s="435" t="s">
        <v>1061</v>
      </c>
      <c r="D55" s="436">
        <v>1380</v>
      </c>
      <c r="E55" t="s">
        <v>134</v>
      </c>
    </row>
    <row r="56" spans="2:5" ht="17" customHeight="1" thickBot="1">
      <c r="B56" s="440">
        <v>2022</v>
      </c>
      <c r="C56" s="441" t="s">
        <v>1062</v>
      </c>
      <c r="D56" s="442">
        <v>2250</v>
      </c>
      <c r="E56" t="s">
        <v>134</v>
      </c>
    </row>
    <row r="57" spans="2:5" ht="17" customHeight="1">
      <c r="B57" s="437">
        <v>2023</v>
      </c>
      <c r="C57" s="438" t="s">
        <v>1063</v>
      </c>
      <c r="D57" s="439">
        <v>8000</v>
      </c>
      <c r="E57" s="528" t="s">
        <v>1024</v>
      </c>
    </row>
    <row r="58" spans="2:5" ht="17" customHeight="1">
      <c r="B58" s="418">
        <v>2024</v>
      </c>
      <c r="C58" s="885" t="s">
        <v>1064</v>
      </c>
      <c r="D58" s="420">
        <v>5685</v>
      </c>
      <c r="E58" t="s">
        <v>1065</v>
      </c>
    </row>
    <row r="59" spans="2:5" ht="16" customHeight="1">
      <c r="B59" s="418">
        <v>2024</v>
      </c>
      <c r="C59" s="885" t="s">
        <v>1066</v>
      </c>
      <c r="D59" s="420">
        <v>5190</v>
      </c>
      <c r="E59" t="s">
        <v>130</v>
      </c>
    </row>
    <row r="65" spans="3:5" ht="18" customHeight="1">
      <c r="C65" s="515" t="s">
        <v>86</v>
      </c>
      <c r="D65" s="1026">
        <f>SUM(D7:D63)</f>
        <v>118835</v>
      </c>
      <c r="E65" s="1016"/>
    </row>
  </sheetData>
  <mergeCells count="1">
    <mergeCell ref="D65:E65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3:J25"/>
  <sheetViews>
    <sheetView showGridLines="0" zoomScale="90" zoomScaleNormal="90" workbookViewId="0">
      <selection activeCell="E35" sqref="E35"/>
    </sheetView>
  </sheetViews>
  <sheetFormatPr baseColWidth="10" defaultColWidth="9.1640625" defaultRowHeight="13"/>
  <cols>
    <col min="1" max="7" width="4.5" customWidth="1"/>
    <col min="8" max="8" width="11.83203125" customWidth="1"/>
    <col min="9" max="9" width="5.33203125" customWidth="1"/>
    <col min="10" max="10" width="6.83203125" customWidth="1"/>
    <col min="11" max="1025" width="4.5" customWidth="1"/>
  </cols>
  <sheetData>
    <row r="3" spans="2:8">
      <c r="C3" s="257" t="s">
        <v>1067</v>
      </c>
    </row>
    <row r="5" spans="2:8">
      <c r="B5" s="256"/>
      <c r="C5" s="256"/>
      <c r="D5" s="256"/>
      <c r="E5" s="256"/>
      <c r="F5" s="256"/>
      <c r="G5" s="256"/>
      <c r="H5" s="258" t="s">
        <v>1068</v>
      </c>
    </row>
    <row r="6" spans="2:8">
      <c r="G6" s="254" t="s">
        <v>1069</v>
      </c>
      <c r="H6" s="259">
        <v>200000</v>
      </c>
    </row>
    <row r="7" spans="2:8">
      <c r="G7" s="254" t="s">
        <v>978</v>
      </c>
      <c r="H7" s="42">
        <v>30000</v>
      </c>
    </row>
    <row r="8" spans="2:8">
      <c r="G8" s="254" t="s">
        <v>1070</v>
      </c>
      <c r="H8" s="42">
        <f>H6-H7</f>
        <v>170000</v>
      </c>
    </row>
    <row r="9" spans="2:8">
      <c r="G9" s="254" t="s">
        <v>1071</v>
      </c>
      <c r="H9" s="260">
        <v>0.03</v>
      </c>
    </row>
    <row r="10" spans="2:8">
      <c r="G10" s="254" t="s">
        <v>1072</v>
      </c>
      <c r="H10" s="261">
        <v>30</v>
      </c>
    </row>
    <row r="11" spans="2:8">
      <c r="G11" s="254" t="s">
        <v>1073</v>
      </c>
      <c r="H11" s="262">
        <v>12</v>
      </c>
    </row>
    <row r="12" spans="2:8">
      <c r="G12" s="254" t="s">
        <v>1074</v>
      </c>
      <c r="H12" s="42">
        <f>ABS(PMT($H$9/12,$H$11*12,$H$8))</f>
        <v>1407.237372061667</v>
      </c>
    </row>
    <row r="13" spans="2:8">
      <c r="G13" s="254" t="s">
        <v>1075</v>
      </c>
      <c r="H13" s="42">
        <f>(H12*(H10*H11))</f>
        <v>506605.45394220011</v>
      </c>
    </row>
    <row r="14" spans="2:8">
      <c r="G14" s="254" t="s">
        <v>1076</v>
      </c>
      <c r="H14" s="42">
        <f>H13-H8</f>
        <v>336605.45394220011</v>
      </c>
    </row>
    <row r="15" spans="2:8">
      <c r="G15" s="254"/>
      <c r="H15" s="42"/>
    </row>
    <row r="16" spans="2:8">
      <c r="B16" s="256"/>
      <c r="C16" s="256"/>
      <c r="D16" s="256"/>
      <c r="E16" s="256"/>
      <c r="F16" s="256"/>
      <c r="G16" s="256"/>
      <c r="H16" s="258" t="s">
        <v>1077</v>
      </c>
    </row>
    <row r="17" spans="7:10">
      <c r="G17" s="254" t="s">
        <v>1069</v>
      </c>
      <c r="H17" s="259">
        <v>200000</v>
      </c>
    </row>
    <row r="18" spans="7:10">
      <c r="G18" s="254" t="s">
        <v>978</v>
      </c>
      <c r="H18" s="42">
        <v>40000</v>
      </c>
    </row>
    <row r="19" spans="7:10">
      <c r="G19" s="254" t="s">
        <v>1070</v>
      </c>
      <c r="H19" s="42">
        <f>H17-H18</f>
        <v>160000</v>
      </c>
      <c r="I19" s="263" t="s">
        <v>1078</v>
      </c>
      <c r="J19">
        <f>(200000*80)/100</f>
        <v>160000</v>
      </c>
    </row>
    <row r="20" spans="7:10">
      <c r="G20" s="254" t="s">
        <v>1071</v>
      </c>
      <c r="H20" s="260">
        <v>0.03</v>
      </c>
    </row>
    <row r="21" spans="7:10">
      <c r="G21" s="254" t="s">
        <v>1072</v>
      </c>
      <c r="H21" s="261">
        <v>30</v>
      </c>
    </row>
    <row r="22" spans="7:10">
      <c r="G22" s="254" t="s">
        <v>1073</v>
      </c>
      <c r="H22" s="262">
        <v>12</v>
      </c>
    </row>
    <row r="23" spans="7:10">
      <c r="G23" s="254" t="s">
        <v>1074</v>
      </c>
      <c r="H23" s="42">
        <f>ABS(PMT($H$20/12,$H$22*12,$H$19))</f>
        <v>1324.458703116863</v>
      </c>
    </row>
    <row r="24" spans="7:10">
      <c r="G24" s="254" t="s">
        <v>1075</v>
      </c>
      <c r="H24" s="42">
        <f>(H23*(H21*H22))</f>
        <v>476805.13312207069</v>
      </c>
    </row>
    <row r="25" spans="7:10">
      <c r="G25" s="254" t="s">
        <v>1076</v>
      </c>
      <c r="H25" s="42">
        <f>H24-H19</f>
        <v>316805.13312207069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4:P179"/>
  <sheetViews>
    <sheetView showGridLines="0" topLeftCell="A37" zoomScaleNormal="100" workbookViewId="0">
      <selection activeCell="B184" sqref="B184"/>
    </sheetView>
  </sheetViews>
  <sheetFormatPr baseColWidth="10" defaultColWidth="9.1640625" defaultRowHeight="13"/>
  <cols>
    <col min="1" max="1" width="4.33203125" customWidth="1"/>
    <col min="2" max="2" width="30.5" customWidth="1"/>
    <col min="3" max="4" width="11.1640625" customWidth="1"/>
    <col min="5" max="14" width="8.83203125" bestFit="1" customWidth="1"/>
    <col min="15" max="256" width="11.1640625" customWidth="1"/>
  </cols>
  <sheetData>
    <row r="4" spans="2:15" ht="20" customHeight="1">
      <c r="B4" s="298">
        <v>2019</v>
      </c>
    </row>
    <row r="5" spans="2:15" ht="19" customHeight="1">
      <c r="B5" s="297" t="s">
        <v>176</v>
      </c>
      <c r="C5" s="299" t="s">
        <v>76</v>
      </c>
      <c r="D5" s="299" t="s">
        <v>285</v>
      </c>
      <c r="E5" s="299" t="s">
        <v>218</v>
      </c>
      <c r="F5" s="299" t="s">
        <v>286</v>
      </c>
      <c r="G5" s="299" t="s">
        <v>167</v>
      </c>
      <c r="H5" s="299" t="s">
        <v>287</v>
      </c>
      <c r="I5" s="299" t="s">
        <v>220</v>
      </c>
      <c r="J5" s="299" t="s">
        <v>288</v>
      </c>
      <c r="K5" s="299" t="s">
        <v>290</v>
      </c>
      <c r="L5" s="299" t="s">
        <v>221</v>
      </c>
      <c r="M5" s="299" t="s">
        <v>291</v>
      </c>
      <c r="N5" s="299" t="s">
        <v>222</v>
      </c>
      <c r="O5" s="300" t="s">
        <v>1079</v>
      </c>
    </row>
    <row r="6" spans="2:15" ht="15" customHeight="1">
      <c r="B6" s="297"/>
      <c r="C6" s="297">
        <v>2019</v>
      </c>
      <c r="D6" s="297">
        <v>2019</v>
      </c>
      <c r="E6" s="297">
        <v>2019</v>
      </c>
      <c r="F6" s="297">
        <v>2019</v>
      </c>
      <c r="G6" s="297">
        <v>2019</v>
      </c>
      <c r="H6" s="297">
        <v>2019</v>
      </c>
      <c r="I6" s="297">
        <v>2019</v>
      </c>
      <c r="J6" s="297">
        <v>2019</v>
      </c>
      <c r="K6" s="297">
        <v>2019</v>
      </c>
      <c r="L6" s="297">
        <v>2019</v>
      </c>
      <c r="M6" s="297">
        <v>2019</v>
      </c>
      <c r="N6" s="297">
        <v>2019</v>
      </c>
      <c r="O6" s="297"/>
    </row>
    <row r="7" spans="2:15">
      <c r="B7" s="301" t="s">
        <v>91</v>
      </c>
      <c r="C7" s="373">
        <v>-30</v>
      </c>
      <c r="D7" s="373">
        <v>-30</v>
      </c>
      <c r="E7" s="373">
        <v>-30</v>
      </c>
      <c r="F7" s="373">
        <v>-30</v>
      </c>
      <c r="G7" s="373">
        <v>-30</v>
      </c>
      <c r="H7" s="373">
        <v>-30</v>
      </c>
      <c r="I7" s="373">
        <v>-30</v>
      </c>
      <c r="J7" s="373">
        <v>-30</v>
      </c>
      <c r="K7" s="373">
        <v>-30</v>
      </c>
      <c r="L7" s="373">
        <v>-30</v>
      </c>
      <c r="M7" s="373">
        <v>-30</v>
      </c>
      <c r="N7" s="373">
        <v>-30</v>
      </c>
      <c r="O7" s="374">
        <v>-360</v>
      </c>
    </row>
    <row r="8" spans="2:15">
      <c r="B8" s="301" t="s">
        <v>1080</v>
      </c>
      <c r="C8" s="373">
        <v>-50</v>
      </c>
      <c r="D8" s="373">
        <v>0</v>
      </c>
      <c r="E8" s="373">
        <v>0</v>
      </c>
      <c r="F8" s="373">
        <v>0</v>
      </c>
      <c r="G8" s="373">
        <v>0</v>
      </c>
      <c r="H8" s="373">
        <v>0</v>
      </c>
      <c r="I8" s="373">
        <v>-100</v>
      </c>
      <c r="J8" s="373">
        <v>0</v>
      </c>
      <c r="K8" s="373">
        <v>0</v>
      </c>
      <c r="L8" s="373">
        <v>0</v>
      </c>
      <c r="M8" s="373">
        <v>-5</v>
      </c>
      <c r="N8" s="373">
        <v>0</v>
      </c>
      <c r="O8" s="374">
        <v>-155</v>
      </c>
    </row>
    <row r="9" spans="2:15">
      <c r="B9" s="301" t="s">
        <v>1081</v>
      </c>
      <c r="C9" s="373">
        <v>-90</v>
      </c>
      <c r="D9" s="373">
        <v>-50</v>
      </c>
      <c r="E9" s="373">
        <v>-90</v>
      </c>
      <c r="F9" s="373">
        <v>-50</v>
      </c>
      <c r="G9" s="373">
        <v>-80</v>
      </c>
      <c r="H9" s="373">
        <v>-50</v>
      </c>
      <c r="I9" s="373">
        <v>-60</v>
      </c>
      <c r="J9" s="373">
        <v>-50</v>
      </c>
      <c r="K9" s="373">
        <v>-80</v>
      </c>
      <c r="L9" s="373">
        <v>-90</v>
      </c>
      <c r="M9" s="373">
        <v>-50</v>
      </c>
      <c r="N9" s="373">
        <v>-80</v>
      </c>
      <c r="O9" s="374">
        <v>-820</v>
      </c>
    </row>
    <row r="10" spans="2:15">
      <c r="B10" s="301" t="s">
        <v>1082</v>
      </c>
      <c r="C10" s="373">
        <v>0</v>
      </c>
      <c r="D10" s="373">
        <v>0</v>
      </c>
      <c r="E10" s="373">
        <v>-85</v>
      </c>
      <c r="F10" s="373">
        <v>0</v>
      </c>
      <c r="G10" s="373">
        <v>0</v>
      </c>
      <c r="H10" s="373">
        <v>-5</v>
      </c>
      <c r="I10" s="373">
        <v>0</v>
      </c>
      <c r="J10" s="373">
        <v>-10</v>
      </c>
      <c r="K10" s="373">
        <v>-70</v>
      </c>
      <c r="L10" s="373">
        <v>-20</v>
      </c>
      <c r="M10" s="373">
        <v>-5</v>
      </c>
      <c r="N10" s="373">
        <v>-60</v>
      </c>
      <c r="O10" s="374">
        <v>-255</v>
      </c>
    </row>
    <row r="11" spans="2:15">
      <c r="B11" s="301" t="s">
        <v>1083</v>
      </c>
      <c r="C11" s="373">
        <v>0</v>
      </c>
      <c r="D11" s="373">
        <v>0</v>
      </c>
      <c r="E11" s="373">
        <v>0</v>
      </c>
      <c r="F11" s="373">
        <v>0</v>
      </c>
      <c r="G11" s="373">
        <v>-70</v>
      </c>
      <c r="H11" s="373">
        <v>0</v>
      </c>
      <c r="I11" s="373">
        <v>0</v>
      </c>
      <c r="J11" s="373">
        <v>0</v>
      </c>
      <c r="K11" s="373">
        <v>0</v>
      </c>
      <c r="L11" s="373">
        <v>0</v>
      </c>
      <c r="M11" s="373">
        <v>0</v>
      </c>
      <c r="N11" s="373">
        <v>0</v>
      </c>
      <c r="O11" s="374">
        <v>-70</v>
      </c>
    </row>
    <row r="12" spans="2:15">
      <c r="B12" s="301" t="s">
        <v>1084</v>
      </c>
      <c r="C12" s="375">
        <v>-2000</v>
      </c>
      <c r="D12" s="373">
        <v>0</v>
      </c>
      <c r="E12" s="373">
        <v>-150</v>
      </c>
      <c r="F12" s="373">
        <v>-200</v>
      </c>
      <c r="G12" s="373">
        <v>-100</v>
      </c>
      <c r="H12" s="373">
        <v>0</v>
      </c>
      <c r="I12" s="373">
        <v>-300</v>
      </c>
      <c r="J12" s="373">
        <v>0</v>
      </c>
      <c r="K12" s="373">
        <v>-50</v>
      </c>
      <c r="L12" s="373">
        <v>-300</v>
      </c>
      <c r="M12" s="373">
        <v>-50</v>
      </c>
      <c r="N12" s="373">
        <v>-300</v>
      </c>
      <c r="O12" s="376">
        <v>-3450</v>
      </c>
    </row>
    <row r="13" spans="2:15">
      <c r="B13" s="301" t="s">
        <v>1085</v>
      </c>
      <c r="C13" s="373">
        <v>-150</v>
      </c>
      <c r="D13" s="373">
        <v>-160</v>
      </c>
      <c r="E13" s="373">
        <v>-230</v>
      </c>
      <c r="F13" s="373">
        <v>-120</v>
      </c>
      <c r="G13" s="373">
        <v>-230</v>
      </c>
      <c r="H13" s="373">
        <v>-275</v>
      </c>
      <c r="I13" s="373">
        <v>-300</v>
      </c>
      <c r="J13" s="373">
        <v>-135</v>
      </c>
      <c r="K13" s="373">
        <v>-75</v>
      </c>
      <c r="L13" s="373">
        <v>-210</v>
      </c>
      <c r="M13" s="373">
        <v>-140</v>
      </c>
      <c r="N13" s="373">
        <v>-115</v>
      </c>
      <c r="O13" s="376">
        <v>-2140</v>
      </c>
    </row>
    <row r="14" spans="2:15">
      <c r="B14" s="301" t="s">
        <v>1086</v>
      </c>
      <c r="C14" s="373">
        <v>0</v>
      </c>
      <c r="D14" s="373">
        <v>0</v>
      </c>
      <c r="E14" s="373">
        <v>0</v>
      </c>
      <c r="F14" s="373">
        <v>-50</v>
      </c>
      <c r="G14" s="373">
        <v>0</v>
      </c>
      <c r="H14" s="373">
        <v>0</v>
      </c>
      <c r="I14" s="373">
        <v>0</v>
      </c>
      <c r="J14" s="373">
        <v>0</v>
      </c>
      <c r="K14" s="373">
        <v>0</v>
      </c>
      <c r="L14" s="373">
        <v>0</v>
      </c>
      <c r="M14" s="373">
        <v>0</v>
      </c>
      <c r="N14" s="373">
        <v>0</v>
      </c>
      <c r="O14" s="374">
        <v>-50</v>
      </c>
    </row>
    <row r="15" spans="2:15">
      <c r="B15" s="301" t="s">
        <v>1087</v>
      </c>
      <c r="C15" s="373">
        <v>-25</v>
      </c>
      <c r="D15" s="373">
        <v>-25</v>
      </c>
      <c r="E15" s="373">
        <v>-25</v>
      </c>
      <c r="F15" s="373">
        <v>-25</v>
      </c>
      <c r="G15" s="373">
        <v>-25</v>
      </c>
      <c r="H15" s="373">
        <v>-25</v>
      </c>
      <c r="I15" s="373">
        <v>-25</v>
      </c>
      <c r="J15" s="373">
        <v>-25</v>
      </c>
      <c r="K15" s="373">
        <v>-25</v>
      </c>
      <c r="L15" s="373">
        <v>-45</v>
      </c>
      <c r="M15" s="373">
        <v>-25</v>
      </c>
      <c r="N15" s="373">
        <v>-25</v>
      </c>
      <c r="O15" s="374">
        <v>-320</v>
      </c>
    </row>
    <row r="16" spans="2:15">
      <c r="B16" s="301" t="s">
        <v>1088</v>
      </c>
      <c r="C16" s="373">
        <v>0</v>
      </c>
      <c r="D16" s="373">
        <v>0</v>
      </c>
      <c r="E16" s="373">
        <v>-15</v>
      </c>
      <c r="F16" s="373">
        <v>0</v>
      </c>
      <c r="G16" s="373">
        <v>-5</v>
      </c>
      <c r="H16" s="373">
        <v>-20</v>
      </c>
      <c r="I16" s="373">
        <v>-10</v>
      </c>
      <c r="J16" s="373">
        <v>0</v>
      </c>
      <c r="K16" s="373">
        <v>0</v>
      </c>
      <c r="L16" s="373">
        <v>-10</v>
      </c>
      <c r="M16" s="373">
        <v>0</v>
      </c>
      <c r="N16" s="373">
        <v>0</v>
      </c>
      <c r="O16" s="374">
        <v>-60</v>
      </c>
    </row>
    <row r="17" spans="2:15">
      <c r="B17" s="301" t="s">
        <v>1089</v>
      </c>
      <c r="C17" s="373">
        <v>-20</v>
      </c>
      <c r="D17" s="373">
        <v>0</v>
      </c>
      <c r="E17" s="373">
        <v>0</v>
      </c>
      <c r="F17" s="373">
        <v>-15</v>
      </c>
      <c r="G17" s="373">
        <v>0</v>
      </c>
      <c r="H17" s="373">
        <v>0</v>
      </c>
      <c r="I17" s="373">
        <v>0</v>
      </c>
      <c r="J17" s="373">
        <v>-25</v>
      </c>
      <c r="K17" s="373">
        <v>-20</v>
      </c>
      <c r="L17" s="373">
        <v>0</v>
      </c>
      <c r="M17" s="373">
        <v>0</v>
      </c>
      <c r="N17" s="373">
        <v>-25</v>
      </c>
      <c r="O17" s="374">
        <v>-105</v>
      </c>
    </row>
    <row r="18" spans="2:15">
      <c r="B18" s="301" t="s">
        <v>1090</v>
      </c>
      <c r="C18" s="373">
        <v>0</v>
      </c>
      <c r="D18" s="373">
        <v>0</v>
      </c>
      <c r="E18" s="373">
        <v>0</v>
      </c>
      <c r="F18" s="373">
        <v>-50</v>
      </c>
      <c r="G18" s="373">
        <v>0</v>
      </c>
      <c r="H18" s="373">
        <v>0</v>
      </c>
      <c r="I18" s="373">
        <v>0</v>
      </c>
      <c r="J18" s="373">
        <v>0</v>
      </c>
      <c r="K18" s="373">
        <v>0</v>
      </c>
      <c r="L18" s="373">
        <v>0</v>
      </c>
      <c r="M18" s="373">
        <v>0</v>
      </c>
      <c r="N18" s="373">
        <v>0</v>
      </c>
      <c r="O18" s="374">
        <v>-50</v>
      </c>
    </row>
    <row r="19" spans="2:15">
      <c r="B19" s="301" t="s">
        <v>1091</v>
      </c>
      <c r="C19" s="373">
        <v>-50</v>
      </c>
      <c r="D19" s="373">
        <v>-30</v>
      </c>
      <c r="E19" s="373">
        <v>-25</v>
      </c>
      <c r="F19" s="373">
        <v>-25</v>
      </c>
      <c r="G19" s="373">
        <v>-30</v>
      </c>
      <c r="H19" s="373">
        <v>-30</v>
      </c>
      <c r="I19" s="373">
        <v>-30</v>
      </c>
      <c r="J19" s="373">
        <v>-30</v>
      </c>
      <c r="K19" s="373">
        <v>-30</v>
      </c>
      <c r="L19" s="373">
        <v>-30</v>
      </c>
      <c r="M19" s="373">
        <v>-30</v>
      </c>
      <c r="N19" s="373">
        <v>-30</v>
      </c>
      <c r="O19" s="374">
        <v>-370</v>
      </c>
    </row>
    <row r="20" spans="2:15">
      <c r="B20" s="301" t="s">
        <v>1092</v>
      </c>
      <c r="C20" s="373">
        <v>-110</v>
      </c>
      <c r="D20" s="373">
        <v>0</v>
      </c>
      <c r="E20" s="373">
        <v>-105</v>
      </c>
      <c r="F20" s="373">
        <v>0</v>
      </c>
      <c r="G20" s="373">
        <v>-110</v>
      </c>
      <c r="H20" s="373">
        <v>0</v>
      </c>
      <c r="I20" s="373">
        <v>-95</v>
      </c>
      <c r="J20" s="373">
        <v>0</v>
      </c>
      <c r="K20" s="373">
        <v>-110</v>
      </c>
      <c r="L20" s="373">
        <v>0</v>
      </c>
      <c r="M20" s="373">
        <v>-115</v>
      </c>
      <c r="N20" s="373">
        <v>0</v>
      </c>
      <c r="O20" s="374">
        <v>-645</v>
      </c>
    </row>
    <row r="21" spans="2:15">
      <c r="B21" s="301" t="s">
        <v>1093</v>
      </c>
      <c r="C21" s="373">
        <v>0</v>
      </c>
      <c r="D21" s="373">
        <v>-135</v>
      </c>
      <c r="E21" s="373">
        <v>0</v>
      </c>
      <c r="F21" s="373">
        <v>-115</v>
      </c>
      <c r="G21" s="373">
        <v>0</v>
      </c>
      <c r="H21" s="373">
        <v>-35</v>
      </c>
      <c r="I21" s="373">
        <v>0</v>
      </c>
      <c r="J21" s="373">
        <v>-25</v>
      </c>
      <c r="K21" s="373">
        <v>-25</v>
      </c>
      <c r="L21" s="373">
        <v>0</v>
      </c>
      <c r="M21" s="373">
        <v>0</v>
      </c>
      <c r="N21" s="373">
        <v>-55</v>
      </c>
      <c r="O21" s="374">
        <v>-390</v>
      </c>
    </row>
    <row r="22" spans="2:15">
      <c r="B22" s="301" t="s">
        <v>1094</v>
      </c>
      <c r="C22" s="373">
        <v>-820</v>
      </c>
      <c r="D22" s="373">
        <v>-820</v>
      </c>
      <c r="E22" s="373">
        <v>-820</v>
      </c>
      <c r="F22" s="373">
        <v>-820</v>
      </c>
      <c r="G22" s="373">
        <v>-820</v>
      </c>
      <c r="H22" s="373">
        <v>-820</v>
      </c>
      <c r="I22" s="373">
        <v>-820</v>
      </c>
      <c r="J22" s="373">
        <v>-820</v>
      </c>
      <c r="K22" s="373">
        <v>-820</v>
      </c>
      <c r="L22" s="373">
        <v>-820</v>
      </c>
      <c r="M22" s="373">
        <v>-820</v>
      </c>
      <c r="N22" s="373">
        <v>-820</v>
      </c>
      <c r="O22" s="376">
        <v>-9840</v>
      </c>
    </row>
    <row r="23" spans="2:15">
      <c r="B23" s="301" t="s">
        <v>1095</v>
      </c>
      <c r="C23" s="373">
        <v>0</v>
      </c>
      <c r="D23" s="373">
        <v>-55</v>
      </c>
      <c r="E23" s="373">
        <v>-55</v>
      </c>
      <c r="F23" s="373">
        <v>0</v>
      </c>
      <c r="G23" s="373">
        <v>0</v>
      </c>
      <c r="H23" s="373">
        <v>-55</v>
      </c>
      <c r="I23" s="373">
        <v>0</v>
      </c>
      <c r="J23" s="373">
        <v>-55</v>
      </c>
      <c r="K23" s="373">
        <v>0</v>
      </c>
      <c r="L23" s="373">
        <v>-45</v>
      </c>
      <c r="M23" s="373">
        <v>0</v>
      </c>
      <c r="N23" s="373">
        <v>-50</v>
      </c>
      <c r="O23" s="374">
        <v>-315</v>
      </c>
    </row>
    <row r="24" spans="2:15">
      <c r="B24" s="301" t="s">
        <v>1096</v>
      </c>
      <c r="C24" s="373">
        <v>0</v>
      </c>
      <c r="D24" s="373">
        <v>0</v>
      </c>
      <c r="E24" s="373">
        <v>0</v>
      </c>
      <c r="F24" s="373">
        <v>0</v>
      </c>
      <c r="G24" s="373">
        <v>0</v>
      </c>
      <c r="H24" s="373">
        <v>-90</v>
      </c>
      <c r="I24" s="373">
        <v>0</v>
      </c>
      <c r="J24" s="373">
        <v>0</v>
      </c>
      <c r="K24" s="373">
        <v>-100</v>
      </c>
      <c r="L24" s="373">
        <v>0</v>
      </c>
      <c r="M24" s="373">
        <v>0</v>
      </c>
      <c r="N24" s="373">
        <v>0</v>
      </c>
      <c r="O24" s="374">
        <v>-190</v>
      </c>
    </row>
    <row r="25" spans="2:15">
      <c r="B25" s="301" t="s">
        <v>1097</v>
      </c>
      <c r="C25" s="373">
        <v>0</v>
      </c>
      <c r="D25" s="373">
        <v>0</v>
      </c>
      <c r="E25" s="373">
        <v>0</v>
      </c>
      <c r="F25" s="373">
        <v>0</v>
      </c>
      <c r="G25" s="373">
        <v>0</v>
      </c>
      <c r="H25" s="373">
        <v>0</v>
      </c>
      <c r="I25" s="373">
        <v>0</v>
      </c>
      <c r="J25" s="373">
        <v>0</v>
      </c>
      <c r="K25" s="373">
        <v>-60</v>
      </c>
      <c r="L25" s="373">
        <v>0</v>
      </c>
      <c r="M25" s="373">
        <v>-15</v>
      </c>
      <c r="N25" s="373">
        <v>0</v>
      </c>
      <c r="O25" s="374">
        <v>-75</v>
      </c>
    </row>
    <row r="26" spans="2:15">
      <c r="B26" s="301" t="s">
        <v>1098</v>
      </c>
      <c r="C26" s="373">
        <v>0</v>
      </c>
      <c r="D26" s="373">
        <v>0</v>
      </c>
      <c r="E26" s="373">
        <v>0</v>
      </c>
      <c r="F26" s="373">
        <v>0</v>
      </c>
      <c r="G26" s="373">
        <v>0</v>
      </c>
      <c r="H26" s="373">
        <v>-50</v>
      </c>
      <c r="I26" s="373">
        <v>0</v>
      </c>
      <c r="J26" s="373">
        <v>0</v>
      </c>
      <c r="K26" s="373">
        <v>-10</v>
      </c>
      <c r="L26" s="373">
        <v>-10</v>
      </c>
      <c r="M26" s="373">
        <v>0</v>
      </c>
      <c r="N26" s="373">
        <v>-20</v>
      </c>
      <c r="O26" s="374">
        <v>-90</v>
      </c>
    </row>
    <row r="27" spans="2:15">
      <c r="B27" s="301" t="s">
        <v>1099</v>
      </c>
      <c r="C27" s="373">
        <v>-40</v>
      </c>
      <c r="D27" s="373">
        <v>-35</v>
      </c>
      <c r="E27" s="373">
        <v>-45</v>
      </c>
      <c r="F27" s="373">
        <v>-125</v>
      </c>
      <c r="G27" s="373">
        <v>-50</v>
      </c>
      <c r="H27" s="373">
        <v>-45</v>
      </c>
      <c r="I27" s="373">
        <v>-125</v>
      </c>
      <c r="J27" s="373">
        <v>-380</v>
      </c>
      <c r="K27" s="373">
        <v>-150</v>
      </c>
      <c r="L27" s="373">
        <v>-110</v>
      </c>
      <c r="M27" s="373">
        <v>-175</v>
      </c>
      <c r="N27" s="373">
        <v>-140</v>
      </c>
      <c r="O27" s="376">
        <v>-1420</v>
      </c>
    </row>
    <row r="28" spans="2:15">
      <c r="B28" s="301" t="s">
        <v>1100</v>
      </c>
      <c r="C28" s="375">
        <v>1950</v>
      </c>
      <c r="D28" s="375">
        <v>1850</v>
      </c>
      <c r="E28" s="375">
        <v>2000</v>
      </c>
      <c r="F28" s="375">
        <v>3105</v>
      </c>
      <c r="G28" s="375">
        <v>1950</v>
      </c>
      <c r="H28" s="375">
        <v>1955</v>
      </c>
      <c r="I28" s="375">
        <v>4250</v>
      </c>
      <c r="J28" s="375">
        <v>1960</v>
      </c>
      <c r="K28" s="375">
        <v>2130</v>
      </c>
      <c r="L28" s="375">
        <v>4250</v>
      </c>
      <c r="M28" s="375">
        <v>1930</v>
      </c>
      <c r="N28" s="375">
        <v>4245</v>
      </c>
      <c r="O28" s="376">
        <v>31575</v>
      </c>
    </row>
    <row r="29" spans="2:15">
      <c r="B29" s="301" t="s">
        <v>121</v>
      </c>
      <c r="C29" s="373">
        <v>-50</v>
      </c>
      <c r="D29" s="373">
        <v>-70</v>
      </c>
      <c r="E29" s="373">
        <v>-45</v>
      </c>
      <c r="F29" s="373">
        <v>-80</v>
      </c>
      <c r="G29" s="373">
        <v>-45</v>
      </c>
      <c r="H29" s="373">
        <v>-90</v>
      </c>
      <c r="I29" s="373">
        <v>-60</v>
      </c>
      <c r="J29" s="373">
        <v>-55</v>
      </c>
      <c r="K29" s="373">
        <v>-80</v>
      </c>
      <c r="L29" s="373">
        <v>-60</v>
      </c>
      <c r="M29" s="373">
        <v>-45</v>
      </c>
      <c r="N29" s="373">
        <v>-40</v>
      </c>
      <c r="O29" s="374">
        <v>-720</v>
      </c>
    </row>
    <row r="30" spans="2:15">
      <c r="B30" s="301" t="s">
        <v>123</v>
      </c>
      <c r="C30" s="373">
        <v>0</v>
      </c>
      <c r="D30" s="373">
        <v>0</v>
      </c>
      <c r="E30" s="373">
        <v>0</v>
      </c>
      <c r="F30" s="373">
        <v>0</v>
      </c>
      <c r="G30" s="373">
        <v>0</v>
      </c>
      <c r="H30" s="373">
        <v>0</v>
      </c>
      <c r="I30" s="373">
        <v>0</v>
      </c>
      <c r="J30" s="373">
        <v>0</v>
      </c>
      <c r="K30" s="373">
        <v>-120</v>
      </c>
      <c r="L30" s="373">
        <v>0</v>
      </c>
      <c r="M30" s="373">
        <v>-80</v>
      </c>
      <c r="N30" s="373">
        <v>-500</v>
      </c>
      <c r="O30" s="374">
        <v>-700</v>
      </c>
    </row>
    <row r="31" spans="2:15">
      <c r="B31" s="301" t="s">
        <v>1101</v>
      </c>
      <c r="C31" s="373">
        <v>-70</v>
      </c>
      <c r="D31" s="373">
        <v>-15</v>
      </c>
      <c r="E31" s="373">
        <v>-50</v>
      </c>
      <c r="F31" s="373">
        <v>0</v>
      </c>
      <c r="G31" s="373">
        <v>0</v>
      </c>
      <c r="H31" s="373">
        <v>0</v>
      </c>
      <c r="I31" s="373">
        <v>-50</v>
      </c>
      <c r="J31" s="373">
        <v>0</v>
      </c>
      <c r="K31" s="373">
        <v>0</v>
      </c>
      <c r="L31" s="373">
        <v>-50</v>
      </c>
      <c r="M31" s="373">
        <v>0</v>
      </c>
      <c r="N31" s="373">
        <v>0</v>
      </c>
      <c r="O31" s="374">
        <v>-235</v>
      </c>
    </row>
    <row r="32" spans="2:15">
      <c r="B32" s="301" t="s">
        <v>1102</v>
      </c>
      <c r="C32" s="373">
        <v>-50</v>
      </c>
      <c r="D32" s="373">
        <v>-60</v>
      </c>
      <c r="E32" s="373">
        <v>-100</v>
      </c>
      <c r="F32" s="373">
        <v>-145</v>
      </c>
      <c r="G32" s="373">
        <v>-50</v>
      </c>
      <c r="H32" s="373">
        <v>0</v>
      </c>
      <c r="I32" s="373">
        <v>0</v>
      </c>
      <c r="J32" s="373">
        <v>-50</v>
      </c>
      <c r="K32" s="373">
        <v>-135</v>
      </c>
      <c r="L32" s="373">
        <v>-150</v>
      </c>
      <c r="M32" s="373">
        <v>-150</v>
      </c>
      <c r="N32" s="373">
        <v>-100</v>
      </c>
      <c r="O32" s="374">
        <v>-990</v>
      </c>
    </row>
    <row r="33" spans="2:15">
      <c r="B33" s="301" t="s">
        <v>1103</v>
      </c>
      <c r="C33" s="373">
        <v>0</v>
      </c>
      <c r="D33" s="373">
        <v>-50</v>
      </c>
      <c r="E33" s="373">
        <v>0</v>
      </c>
      <c r="F33" s="373">
        <v>-75</v>
      </c>
      <c r="G33" s="373">
        <v>-70</v>
      </c>
      <c r="H33" s="373">
        <v>-70</v>
      </c>
      <c r="I33" s="373">
        <v>-220</v>
      </c>
      <c r="J33" s="373">
        <v>-70</v>
      </c>
      <c r="K33" s="373">
        <v>-70</v>
      </c>
      <c r="L33" s="373">
        <v>-145</v>
      </c>
      <c r="M33" s="373">
        <v>0</v>
      </c>
      <c r="N33" s="373">
        <v>-130</v>
      </c>
      <c r="O33" s="374">
        <v>-900</v>
      </c>
    </row>
    <row r="34" spans="2:15">
      <c r="B34" s="301" t="s">
        <v>1104</v>
      </c>
      <c r="C34" s="373">
        <v>0</v>
      </c>
      <c r="D34" s="373">
        <v>0</v>
      </c>
      <c r="E34" s="373">
        <v>0</v>
      </c>
      <c r="F34" s="373">
        <v>0</v>
      </c>
      <c r="G34" s="373">
        <v>0</v>
      </c>
      <c r="H34" s="373">
        <v>0</v>
      </c>
      <c r="I34" s="373">
        <v>-10</v>
      </c>
      <c r="J34" s="373">
        <v>0</v>
      </c>
      <c r="K34" s="373">
        <v>0</v>
      </c>
      <c r="L34" s="373">
        <v>0</v>
      </c>
      <c r="M34" s="373">
        <v>0</v>
      </c>
      <c r="N34" s="373">
        <v>0</v>
      </c>
      <c r="O34" s="374">
        <v>-10</v>
      </c>
    </row>
    <row r="35" spans="2:15">
      <c r="B35" s="301" t="s">
        <v>127</v>
      </c>
      <c r="C35" s="373">
        <v>-105</v>
      </c>
      <c r="D35" s="373">
        <v>-30</v>
      </c>
      <c r="E35" s="373">
        <v>-35</v>
      </c>
      <c r="F35" s="373">
        <v>-150</v>
      </c>
      <c r="G35" s="373">
        <v>0</v>
      </c>
      <c r="H35" s="373">
        <v>-30</v>
      </c>
      <c r="I35" s="373">
        <v>0</v>
      </c>
      <c r="J35" s="373">
        <v>0</v>
      </c>
      <c r="K35" s="373">
        <v>0</v>
      </c>
      <c r="L35" s="373">
        <v>-50</v>
      </c>
      <c r="M35" s="373">
        <v>0</v>
      </c>
      <c r="N35" s="373">
        <v>-600</v>
      </c>
      <c r="O35" s="376">
        <v>-1000</v>
      </c>
    </row>
    <row r="36" spans="2:15">
      <c r="B36" s="301" t="s">
        <v>1105</v>
      </c>
      <c r="C36" s="373">
        <v>0</v>
      </c>
      <c r="D36" s="373">
        <v>0</v>
      </c>
      <c r="E36" s="373">
        <v>-15</v>
      </c>
      <c r="F36" s="373">
        <v>0</v>
      </c>
      <c r="G36" s="373">
        <v>-60</v>
      </c>
      <c r="H36" s="373">
        <v>0</v>
      </c>
      <c r="I36" s="373">
        <v>0</v>
      </c>
      <c r="J36" s="373">
        <v>0</v>
      </c>
      <c r="K36" s="373">
        <v>0</v>
      </c>
      <c r="L36" s="373">
        <v>0</v>
      </c>
      <c r="M36" s="373">
        <v>0</v>
      </c>
      <c r="N36" s="373">
        <v>0</v>
      </c>
      <c r="O36" s="374">
        <v>-75</v>
      </c>
    </row>
    <row r="37" spans="2:15">
      <c r="B37" s="301" t="s">
        <v>1106</v>
      </c>
      <c r="C37" s="373">
        <v>0</v>
      </c>
      <c r="D37" s="373">
        <v>0</v>
      </c>
      <c r="E37" s="373">
        <v>0</v>
      </c>
      <c r="F37" s="373">
        <v>0</v>
      </c>
      <c r="G37" s="373">
        <v>0</v>
      </c>
      <c r="H37" s="373">
        <v>-20</v>
      </c>
      <c r="I37" s="373">
        <v>0</v>
      </c>
      <c r="J37" s="373">
        <v>0</v>
      </c>
      <c r="K37" s="373">
        <v>0</v>
      </c>
      <c r="L37" s="373">
        <v>0</v>
      </c>
      <c r="M37" s="373">
        <v>0</v>
      </c>
      <c r="N37" s="373">
        <v>0</v>
      </c>
      <c r="O37" s="374">
        <v>-20</v>
      </c>
    </row>
    <row r="38" spans="2:15">
      <c r="B38" s="301" t="s">
        <v>1107</v>
      </c>
      <c r="C38" s="373">
        <v>0</v>
      </c>
      <c r="D38" s="373">
        <v>0</v>
      </c>
      <c r="E38" s="373">
        <v>0</v>
      </c>
      <c r="F38" s="373">
        <v>-10</v>
      </c>
      <c r="G38" s="373">
        <v>0</v>
      </c>
      <c r="H38" s="373">
        <v>0</v>
      </c>
      <c r="I38" s="373">
        <v>0</v>
      </c>
      <c r="J38" s="373">
        <v>0</v>
      </c>
      <c r="K38" s="373">
        <v>0</v>
      </c>
      <c r="L38" s="373">
        <v>0</v>
      </c>
      <c r="M38" s="373">
        <v>0</v>
      </c>
      <c r="N38" s="373">
        <v>-15</v>
      </c>
      <c r="O38" s="374">
        <v>-25</v>
      </c>
    </row>
    <row r="39" spans="2:15">
      <c r="B39" s="301" t="s">
        <v>1108</v>
      </c>
      <c r="C39" s="373">
        <v>-50</v>
      </c>
      <c r="D39" s="373">
        <v>0</v>
      </c>
      <c r="E39" s="373">
        <v>0</v>
      </c>
      <c r="F39" s="373">
        <v>0</v>
      </c>
      <c r="G39" s="373">
        <v>0</v>
      </c>
      <c r="H39" s="373">
        <v>0</v>
      </c>
      <c r="I39" s="373">
        <v>0</v>
      </c>
      <c r="J39" s="373">
        <v>0</v>
      </c>
      <c r="K39" s="373">
        <v>0</v>
      </c>
      <c r="L39" s="373">
        <v>0</v>
      </c>
      <c r="M39" s="373">
        <v>0</v>
      </c>
      <c r="N39" s="373">
        <v>0</v>
      </c>
      <c r="O39" s="374">
        <v>-50</v>
      </c>
    </row>
    <row r="40" spans="2:15">
      <c r="B40" s="301" t="s">
        <v>1109</v>
      </c>
      <c r="C40" s="373">
        <v>-165</v>
      </c>
      <c r="D40" s="373">
        <v>0</v>
      </c>
      <c r="E40" s="373">
        <v>0</v>
      </c>
      <c r="F40" s="373">
        <v>0</v>
      </c>
      <c r="G40" s="373">
        <v>0</v>
      </c>
      <c r="H40" s="373">
        <v>0</v>
      </c>
      <c r="I40" s="373">
        <v>0</v>
      </c>
      <c r="J40" s="373">
        <v>0</v>
      </c>
      <c r="K40" s="373">
        <v>0</v>
      </c>
      <c r="L40" s="373">
        <v>0</v>
      </c>
      <c r="M40" s="373">
        <v>0</v>
      </c>
      <c r="N40" s="373">
        <v>0</v>
      </c>
      <c r="O40" s="374">
        <v>-165</v>
      </c>
    </row>
    <row r="41" spans="2:15">
      <c r="B41" s="301" t="s">
        <v>1110</v>
      </c>
      <c r="C41" s="373">
        <v>-15</v>
      </c>
      <c r="D41" s="373">
        <v>-15</v>
      </c>
      <c r="E41" s="373">
        <v>-15</v>
      </c>
      <c r="F41" s="373">
        <v>-15</v>
      </c>
      <c r="G41" s="373">
        <v>-15</v>
      </c>
      <c r="H41" s="373">
        <v>-15</v>
      </c>
      <c r="I41" s="373">
        <v>-15</v>
      </c>
      <c r="J41" s="373">
        <v>-15</v>
      </c>
      <c r="K41" s="373">
        <v>-15</v>
      </c>
      <c r="L41" s="373">
        <v>-15</v>
      </c>
      <c r="M41" s="373">
        <v>-15</v>
      </c>
      <c r="N41" s="373">
        <v>-15</v>
      </c>
      <c r="O41" s="374">
        <v>-180</v>
      </c>
    </row>
    <row r="42" spans="2:15">
      <c r="B42" s="301" t="s">
        <v>207</v>
      </c>
      <c r="C42" s="373">
        <v>0</v>
      </c>
      <c r="D42" s="373">
        <v>0</v>
      </c>
      <c r="E42" s="373">
        <v>0</v>
      </c>
      <c r="F42" s="373">
        <v>-150</v>
      </c>
      <c r="G42" s="373">
        <v>-11</v>
      </c>
      <c r="H42" s="373">
        <v>0</v>
      </c>
      <c r="I42" s="373">
        <v>0</v>
      </c>
      <c r="J42" s="373">
        <v>0</v>
      </c>
      <c r="K42" s="373">
        <v>0</v>
      </c>
      <c r="L42" s="373">
        <v>-480</v>
      </c>
      <c r="M42" s="373">
        <v>-65</v>
      </c>
      <c r="N42" s="373">
        <v>-60</v>
      </c>
      <c r="O42" s="374">
        <v>-766</v>
      </c>
    </row>
    <row r="43" spans="2:15">
      <c r="B43" s="301" t="s">
        <v>1111</v>
      </c>
      <c r="C43" s="373">
        <v>0</v>
      </c>
      <c r="D43" s="373">
        <v>0</v>
      </c>
      <c r="E43" s="373">
        <v>0</v>
      </c>
      <c r="F43" s="373">
        <v>0</v>
      </c>
      <c r="G43" s="373">
        <v>0</v>
      </c>
      <c r="H43" s="373">
        <v>0</v>
      </c>
      <c r="I43" s="373">
        <v>0</v>
      </c>
      <c r="J43" s="373">
        <v>0</v>
      </c>
      <c r="K43" s="373">
        <v>0</v>
      </c>
      <c r="L43" s="373">
        <v>0</v>
      </c>
      <c r="M43" s="373">
        <v>0</v>
      </c>
      <c r="N43" s="373">
        <v>-70</v>
      </c>
      <c r="O43" s="374">
        <v>-70</v>
      </c>
    </row>
    <row r="44" spans="2:15">
      <c r="B44" s="301" t="s">
        <v>209</v>
      </c>
      <c r="C44" s="373">
        <v>0</v>
      </c>
      <c r="D44" s="373">
        <v>0</v>
      </c>
      <c r="E44" s="373">
        <v>0</v>
      </c>
      <c r="F44" s="373">
        <v>-10</v>
      </c>
      <c r="G44" s="373">
        <v>0</v>
      </c>
      <c r="H44" s="373">
        <v>0</v>
      </c>
      <c r="I44" s="373">
        <v>-10</v>
      </c>
      <c r="J44" s="373">
        <v>0</v>
      </c>
      <c r="K44" s="373">
        <v>0</v>
      </c>
      <c r="L44" s="373">
        <v>0</v>
      </c>
      <c r="M44" s="373">
        <v>0</v>
      </c>
      <c r="N44" s="373">
        <v>0</v>
      </c>
      <c r="O44" s="374">
        <v>-20</v>
      </c>
    </row>
    <row r="45" spans="2:15">
      <c r="B45" s="301" t="s">
        <v>32</v>
      </c>
      <c r="C45" s="373">
        <v>0</v>
      </c>
      <c r="D45" s="373">
        <v>0</v>
      </c>
      <c r="E45" s="373">
        <v>0</v>
      </c>
      <c r="F45" s="373">
        <v>0</v>
      </c>
      <c r="G45" s="373">
        <v>0</v>
      </c>
      <c r="H45" s="373">
        <v>0</v>
      </c>
      <c r="I45" s="373">
        <v>-600</v>
      </c>
      <c r="J45" s="375">
        <v>-1150</v>
      </c>
      <c r="K45" s="373">
        <v>-40</v>
      </c>
      <c r="L45" s="373">
        <v>0</v>
      </c>
      <c r="M45" s="373">
        <v>0</v>
      </c>
      <c r="N45" s="373">
        <v>0</v>
      </c>
      <c r="O45" s="376">
        <v>-1790</v>
      </c>
    </row>
    <row r="46" spans="2:15">
      <c r="B46" s="301" t="s">
        <v>9</v>
      </c>
      <c r="C46" s="373">
        <v>-15</v>
      </c>
      <c r="D46" s="373">
        <v>-15</v>
      </c>
      <c r="E46" s="373">
        <v>-15</v>
      </c>
      <c r="F46" s="373">
        <v>-15</v>
      </c>
      <c r="G46" s="373">
        <v>-15</v>
      </c>
      <c r="H46" s="373">
        <v>-50</v>
      </c>
      <c r="I46" s="373">
        <v>-15</v>
      </c>
      <c r="J46" s="373">
        <v>-15</v>
      </c>
      <c r="K46" s="373">
        <v>-15</v>
      </c>
      <c r="L46" s="373">
        <v>-15</v>
      </c>
      <c r="M46" s="373">
        <v>-15</v>
      </c>
      <c r="N46" s="373">
        <v>-15</v>
      </c>
      <c r="O46" s="374">
        <v>-215</v>
      </c>
    </row>
    <row r="47" spans="2:15" ht="15" customHeight="1">
      <c r="B47" s="297" t="s">
        <v>1112</v>
      </c>
      <c r="C47" s="376">
        <v>1950</v>
      </c>
      <c r="D47" s="376">
        <v>1850</v>
      </c>
      <c r="E47" s="376">
        <v>2000</v>
      </c>
      <c r="F47" s="376">
        <v>3105</v>
      </c>
      <c r="G47" s="376">
        <v>1950</v>
      </c>
      <c r="H47" s="376">
        <v>1955</v>
      </c>
      <c r="I47" s="376">
        <v>4250</v>
      </c>
      <c r="J47" s="376">
        <v>1960</v>
      </c>
      <c r="K47" s="376">
        <v>2130</v>
      </c>
      <c r="L47" s="376">
        <v>4250</v>
      </c>
      <c r="M47" s="376">
        <v>1930</v>
      </c>
      <c r="N47" s="376">
        <v>4245</v>
      </c>
      <c r="O47" s="376">
        <v>31575</v>
      </c>
    </row>
    <row r="48" spans="2:15" ht="15" customHeight="1">
      <c r="B48" s="297" t="s">
        <v>67</v>
      </c>
      <c r="C48" s="376">
        <v>-3905</v>
      </c>
      <c r="D48" s="376">
        <v>-1595</v>
      </c>
      <c r="E48" s="376">
        <v>-1950</v>
      </c>
      <c r="F48" s="376">
        <v>-2275</v>
      </c>
      <c r="G48" s="376">
        <v>-1816</v>
      </c>
      <c r="H48" s="376">
        <v>-1805</v>
      </c>
      <c r="I48" s="376">
        <v>-2875</v>
      </c>
      <c r="J48" s="376">
        <v>-2940</v>
      </c>
      <c r="K48" s="376">
        <v>-2130</v>
      </c>
      <c r="L48" s="376">
        <v>-2685</v>
      </c>
      <c r="M48" s="376">
        <v>-1830</v>
      </c>
      <c r="N48" s="376">
        <v>-3295</v>
      </c>
      <c r="O48" s="376">
        <v>-29101</v>
      </c>
    </row>
    <row r="49" spans="2:15" ht="15" customHeight="1">
      <c r="B49" s="297" t="s">
        <v>93</v>
      </c>
      <c r="C49" s="376">
        <v>-1955</v>
      </c>
      <c r="D49" s="374">
        <v>255</v>
      </c>
      <c r="E49" s="374">
        <v>50</v>
      </c>
      <c r="F49" s="374">
        <v>830</v>
      </c>
      <c r="G49" s="374">
        <v>134</v>
      </c>
      <c r="H49" s="374">
        <v>150</v>
      </c>
      <c r="I49" s="376">
        <v>1375</v>
      </c>
      <c r="J49" s="374">
        <v>-980</v>
      </c>
      <c r="K49" s="374">
        <v>0</v>
      </c>
      <c r="L49" s="376">
        <v>1565</v>
      </c>
      <c r="M49" s="374">
        <v>100</v>
      </c>
      <c r="N49" s="374">
        <v>950</v>
      </c>
      <c r="O49" s="376">
        <v>2474</v>
      </c>
    </row>
    <row r="52" spans="2:15" ht="20" customHeight="1">
      <c r="B52" s="298">
        <v>2020</v>
      </c>
    </row>
    <row r="53" spans="2:15" ht="19" customHeight="1">
      <c r="B53" s="297" t="s">
        <v>176</v>
      </c>
      <c r="C53" s="299" t="s">
        <v>76</v>
      </c>
      <c r="D53" s="299" t="s">
        <v>285</v>
      </c>
      <c r="E53" s="299" t="s">
        <v>218</v>
      </c>
      <c r="F53" s="299" t="s">
        <v>286</v>
      </c>
      <c r="G53" s="299" t="s">
        <v>167</v>
      </c>
      <c r="H53" s="299" t="s">
        <v>287</v>
      </c>
      <c r="I53" s="299" t="s">
        <v>220</v>
      </c>
      <c r="J53" s="299" t="s">
        <v>288</v>
      </c>
      <c r="K53" s="299" t="s">
        <v>290</v>
      </c>
      <c r="L53" s="299" t="s">
        <v>221</v>
      </c>
      <c r="M53" s="299" t="s">
        <v>291</v>
      </c>
      <c r="N53" s="299" t="s">
        <v>222</v>
      </c>
      <c r="O53" s="300" t="s">
        <v>1079</v>
      </c>
    </row>
    <row r="54" spans="2:15" ht="15" customHeight="1">
      <c r="B54" s="297"/>
      <c r="C54" s="297">
        <v>2020</v>
      </c>
      <c r="D54" s="297">
        <v>2020</v>
      </c>
      <c r="E54" s="297">
        <v>2020</v>
      </c>
      <c r="F54" s="297">
        <v>2020</v>
      </c>
      <c r="G54" s="297">
        <v>2020</v>
      </c>
      <c r="H54" s="297">
        <v>2020</v>
      </c>
      <c r="I54" s="297">
        <v>2020</v>
      </c>
      <c r="J54" s="297">
        <v>2020</v>
      </c>
      <c r="K54" s="297">
        <v>2020</v>
      </c>
      <c r="L54" s="297">
        <v>2020</v>
      </c>
      <c r="M54" s="297">
        <v>2020</v>
      </c>
      <c r="N54" s="297">
        <v>2020</v>
      </c>
      <c r="O54" s="297"/>
    </row>
    <row r="55" spans="2:15" ht="14" customHeight="1">
      <c r="B55" s="313" t="s">
        <v>91</v>
      </c>
      <c r="C55" s="368">
        <v>-30</v>
      </c>
      <c r="D55" s="368">
        <v>-30</v>
      </c>
      <c r="E55" s="368">
        <v>-30</v>
      </c>
      <c r="F55" s="368">
        <v>-30</v>
      </c>
      <c r="G55" s="368">
        <v>-30</v>
      </c>
      <c r="H55" s="368">
        <v>-30</v>
      </c>
      <c r="I55" s="368">
        <v>-30</v>
      </c>
      <c r="J55" s="368">
        <v>-30</v>
      </c>
      <c r="K55" s="368">
        <v>-30</v>
      </c>
      <c r="L55" s="368">
        <v>-30</v>
      </c>
      <c r="M55" s="368">
        <v>-30</v>
      </c>
      <c r="N55" s="368">
        <v>-780</v>
      </c>
      <c r="O55" s="370">
        <v>-1110</v>
      </c>
    </row>
    <row r="56" spans="2:15" ht="14" customHeight="1">
      <c r="B56" s="313" t="s">
        <v>1081</v>
      </c>
      <c r="C56" s="368">
        <v>-60</v>
      </c>
      <c r="D56" s="368">
        <v>-80</v>
      </c>
      <c r="E56" s="369">
        <v>0</v>
      </c>
      <c r="F56" s="369">
        <v>0</v>
      </c>
      <c r="G56" s="369">
        <v>0</v>
      </c>
      <c r="H56" s="368">
        <v>-30</v>
      </c>
      <c r="I56" s="369">
        <v>0</v>
      </c>
      <c r="J56" s="368">
        <v>-50</v>
      </c>
      <c r="K56" s="368">
        <v>-25</v>
      </c>
      <c r="L56" s="369">
        <v>0</v>
      </c>
      <c r="M56" s="369">
        <v>0</v>
      </c>
      <c r="N56" s="369">
        <v>0</v>
      </c>
      <c r="O56" s="370">
        <v>-245</v>
      </c>
    </row>
    <row r="57" spans="2:15" ht="14" customHeight="1">
      <c r="B57" s="313" t="s">
        <v>1082</v>
      </c>
      <c r="C57" s="369">
        <v>0</v>
      </c>
      <c r="D57" s="368">
        <v>-60</v>
      </c>
      <c r="E57" s="369">
        <v>0</v>
      </c>
      <c r="F57" s="369">
        <v>0</v>
      </c>
      <c r="G57" s="369">
        <v>0</v>
      </c>
      <c r="H57" s="369">
        <v>0</v>
      </c>
      <c r="I57" s="369">
        <v>0</v>
      </c>
      <c r="J57" s="369">
        <v>0</v>
      </c>
      <c r="K57" s="369">
        <v>0</v>
      </c>
      <c r="L57" s="369">
        <v>0</v>
      </c>
      <c r="M57" s="369">
        <v>0</v>
      </c>
      <c r="N57" s="368">
        <v>-15</v>
      </c>
      <c r="O57" s="370">
        <v>-75</v>
      </c>
    </row>
    <row r="58" spans="2:15" ht="14" customHeight="1">
      <c r="B58" s="313" t="s">
        <v>1083</v>
      </c>
      <c r="C58" s="369">
        <v>0</v>
      </c>
      <c r="D58" s="369">
        <v>0</v>
      </c>
      <c r="E58" s="369">
        <v>0</v>
      </c>
      <c r="F58" s="369">
        <v>0</v>
      </c>
      <c r="G58" s="369">
        <v>0</v>
      </c>
      <c r="H58" s="368">
        <v>-70</v>
      </c>
      <c r="I58" s="369">
        <v>0</v>
      </c>
      <c r="J58" s="369">
        <v>0</v>
      </c>
      <c r="K58" s="369">
        <v>0</v>
      </c>
      <c r="L58" s="369">
        <v>0</v>
      </c>
      <c r="M58" s="369">
        <v>0</v>
      </c>
      <c r="N58" s="369">
        <v>0</v>
      </c>
      <c r="O58" s="370">
        <v>-70</v>
      </c>
    </row>
    <row r="59" spans="2:15" ht="14" customHeight="1">
      <c r="B59" s="313" t="s">
        <v>1084</v>
      </c>
      <c r="C59" s="369">
        <v>0</v>
      </c>
      <c r="D59" s="368">
        <v>-175</v>
      </c>
      <c r="E59" s="368">
        <v>-100</v>
      </c>
      <c r="F59" s="368">
        <v>-300</v>
      </c>
      <c r="G59" s="368">
        <v>-100</v>
      </c>
      <c r="H59" s="368">
        <v>-200</v>
      </c>
      <c r="I59" s="368">
        <v>-300</v>
      </c>
      <c r="J59" s="368">
        <v>-150</v>
      </c>
      <c r="K59" s="368">
        <v>-100</v>
      </c>
      <c r="L59" s="368">
        <v>-300</v>
      </c>
      <c r="M59" s="368">
        <v>-150</v>
      </c>
      <c r="N59" s="368">
        <v>-300</v>
      </c>
      <c r="O59" s="370">
        <v>-2175</v>
      </c>
    </row>
    <row r="60" spans="2:15" ht="14" customHeight="1">
      <c r="B60" s="313" t="s">
        <v>1085</v>
      </c>
      <c r="C60" s="368">
        <v>-160</v>
      </c>
      <c r="D60" s="368">
        <v>-175</v>
      </c>
      <c r="E60" s="368">
        <v>-165</v>
      </c>
      <c r="F60" s="368">
        <v>-230</v>
      </c>
      <c r="G60" s="368">
        <v>-265</v>
      </c>
      <c r="H60" s="368">
        <v>-285</v>
      </c>
      <c r="I60" s="368">
        <v>-285</v>
      </c>
      <c r="J60" s="368">
        <v>-205</v>
      </c>
      <c r="K60" s="368">
        <v>-200</v>
      </c>
      <c r="L60" s="368">
        <v>-280</v>
      </c>
      <c r="M60" s="368">
        <v>-250</v>
      </c>
      <c r="N60" s="368">
        <v>-425</v>
      </c>
      <c r="O60" s="370">
        <v>-2925</v>
      </c>
    </row>
    <row r="61" spans="2:15" ht="14" customHeight="1">
      <c r="B61" s="313" t="s">
        <v>1086</v>
      </c>
      <c r="C61" s="369">
        <v>0</v>
      </c>
      <c r="D61" s="369">
        <v>0</v>
      </c>
      <c r="E61" s="369">
        <v>0</v>
      </c>
      <c r="F61" s="369">
        <v>0</v>
      </c>
      <c r="G61" s="369">
        <v>0</v>
      </c>
      <c r="H61" s="369">
        <v>0</v>
      </c>
      <c r="I61" s="368">
        <v>-35</v>
      </c>
      <c r="J61" s="369">
        <v>0</v>
      </c>
      <c r="K61" s="369">
        <v>0</v>
      </c>
      <c r="L61" s="369">
        <v>0</v>
      </c>
      <c r="M61" s="369">
        <v>0</v>
      </c>
      <c r="N61" s="369">
        <v>0</v>
      </c>
      <c r="O61" s="370">
        <v>-35</v>
      </c>
    </row>
    <row r="62" spans="2:15" ht="14" customHeight="1">
      <c r="B62" s="313" t="s">
        <v>1087</v>
      </c>
      <c r="C62" s="368">
        <v>-25</v>
      </c>
      <c r="D62" s="368">
        <v>-25</v>
      </c>
      <c r="E62" s="368">
        <v>-25</v>
      </c>
      <c r="F62" s="368">
        <v>-25</v>
      </c>
      <c r="G62" s="368">
        <v>-25</v>
      </c>
      <c r="H62" s="368">
        <v>-25</v>
      </c>
      <c r="I62" s="368">
        <v>-25</v>
      </c>
      <c r="J62" s="368">
        <v>-25</v>
      </c>
      <c r="K62" s="368">
        <v>-25</v>
      </c>
      <c r="L62" s="368">
        <v>-25</v>
      </c>
      <c r="M62" s="368">
        <v>-25</v>
      </c>
      <c r="N62" s="368">
        <v>-25</v>
      </c>
      <c r="O62" s="370">
        <v>-300</v>
      </c>
    </row>
    <row r="63" spans="2:15" ht="14" customHeight="1">
      <c r="B63" s="313" t="s">
        <v>1088</v>
      </c>
      <c r="C63" s="369">
        <v>0</v>
      </c>
      <c r="D63" s="368">
        <v>-30</v>
      </c>
      <c r="E63" s="368">
        <v>-10</v>
      </c>
      <c r="F63" s="369">
        <v>0</v>
      </c>
      <c r="G63" s="369">
        <v>0</v>
      </c>
      <c r="H63" s="369">
        <v>0</v>
      </c>
      <c r="I63" s="369">
        <v>0</v>
      </c>
      <c r="J63" s="369">
        <v>0</v>
      </c>
      <c r="K63" s="369">
        <v>0</v>
      </c>
      <c r="L63" s="369">
        <v>0</v>
      </c>
      <c r="M63" s="369">
        <v>0</v>
      </c>
      <c r="N63" s="369">
        <v>0</v>
      </c>
      <c r="O63" s="370">
        <v>-40</v>
      </c>
    </row>
    <row r="64" spans="2:15" ht="14" customHeight="1">
      <c r="B64" s="313" t="s">
        <v>1089</v>
      </c>
      <c r="C64" s="369">
        <v>0</v>
      </c>
      <c r="D64" s="369">
        <v>0</v>
      </c>
      <c r="E64" s="369">
        <v>0</v>
      </c>
      <c r="F64" s="369">
        <v>0</v>
      </c>
      <c r="G64" s="369">
        <v>0</v>
      </c>
      <c r="H64" s="369">
        <v>0</v>
      </c>
      <c r="I64" s="369">
        <v>0</v>
      </c>
      <c r="J64" s="368">
        <v>-15</v>
      </c>
      <c r="K64" s="369">
        <v>0</v>
      </c>
      <c r="L64" s="369">
        <v>0</v>
      </c>
      <c r="M64" s="369">
        <v>0</v>
      </c>
      <c r="N64" s="368">
        <v>-45</v>
      </c>
      <c r="O64" s="370">
        <v>-60</v>
      </c>
    </row>
    <row r="65" spans="2:15" ht="14" customHeight="1">
      <c r="B65" s="313" t="s">
        <v>1091</v>
      </c>
      <c r="C65" s="368">
        <v>-30</v>
      </c>
      <c r="D65" s="368">
        <v>-30</v>
      </c>
      <c r="E65" s="368">
        <v>-35</v>
      </c>
      <c r="F65" s="368">
        <v>-35</v>
      </c>
      <c r="G65" s="368">
        <v>-35</v>
      </c>
      <c r="H65" s="368">
        <v>-35</v>
      </c>
      <c r="I65" s="368">
        <v>-35</v>
      </c>
      <c r="J65" s="368">
        <v>-35</v>
      </c>
      <c r="K65" s="368">
        <v>-35</v>
      </c>
      <c r="L65" s="368">
        <v>-35</v>
      </c>
      <c r="M65" s="368">
        <v>-35</v>
      </c>
      <c r="N65" s="368">
        <v>-35</v>
      </c>
      <c r="O65" s="370">
        <v>-410</v>
      </c>
    </row>
    <row r="66" spans="2:15" ht="14" customHeight="1">
      <c r="B66" s="313" t="s">
        <v>1092</v>
      </c>
      <c r="C66" s="368">
        <v>-115</v>
      </c>
      <c r="D66" s="369">
        <v>0</v>
      </c>
      <c r="E66" s="368">
        <v>-110</v>
      </c>
      <c r="F66" s="369">
        <v>0</v>
      </c>
      <c r="G66" s="368">
        <v>-130</v>
      </c>
      <c r="H66" s="369">
        <v>0</v>
      </c>
      <c r="I66" s="368">
        <v>-125</v>
      </c>
      <c r="J66" s="369">
        <v>0</v>
      </c>
      <c r="K66" s="368">
        <v>-130</v>
      </c>
      <c r="L66" s="369">
        <v>0</v>
      </c>
      <c r="M66" s="368">
        <v>-125</v>
      </c>
      <c r="N66" s="369">
        <v>0</v>
      </c>
      <c r="O66" s="370">
        <v>-735</v>
      </c>
    </row>
    <row r="67" spans="2:15" ht="14" customHeight="1">
      <c r="B67" s="313" t="s">
        <v>1093</v>
      </c>
      <c r="C67" s="369">
        <v>0</v>
      </c>
      <c r="D67" s="368">
        <v>-95</v>
      </c>
      <c r="E67" s="369">
        <v>0</v>
      </c>
      <c r="F67" s="368">
        <v>-50</v>
      </c>
      <c r="G67" s="369">
        <v>0</v>
      </c>
      <c r="H67" s="368">
        <v>-50</v>
      </c>
      <c r="I67" s="369">
        <v>0</v>
      </c>
      <c r="J67" s="368">
        <v>-25</v>
      </c>
      <c r="K67" s="369">
        <v>0</v>
      </c>
      <c r="L67" s="368">
        <v>-30</v>
      </c>
      <c r="M67" s="369">
        <v>0</v>
      </c>
      <c r="N67" s="368">
        <v>-35</v>
      </c>
      <c r="O67" s="370">
        <v>-285</v>
      </c>
    </row>
    <row r="68" spans="2:15" ht="14" customHeight="1">
      <c r="B68" s="313" t="s">
        <v>1094</v>
      </c>
      <c r="C68" s="368">
        <v>-820</v>
      </c>
      <c r="D68" s="368">
        <v>-820</v>
      </c>
      <c r="E68" s="368">
        <v>-820</v>
      </c>
      <c r="F68" s="368">
        <v>-655</v>
      </c>
      <c r="G68" s="368">
        <v>-820</v>
      </c>
      <c r="H68" s="368">
        <v>-820</v>
      </c>
      <c r="I68" s="368">
        <v>-820</v>
      </c>
      <c r="J68" s="368">
        <v>-820</v>
      </c>
      <c r="K68" s="368">
        <v>-820</v>
      </c>
      <c r="L68" s="368">
        <v>-820</v>
      </c>
      <c r="M68" s="368">
        <v>-820</v>
      </c>
      <c r="N68" s="368">
        <v>-820</v>
      </c>
      <c r="O68" s="370">
        <v>-9675</v>
      </c>
    </row>
    <row r="69" spans="2:15" ht="14" customHeight="1">
      <c r="B69" s="313" t="s">
        <v>1095</v>
      </c>
      <c r="C69" s="368">
        <v>-60</v>
      </c>
      <c r="D69" s="369">
        <v>0</v>
      </c>
      <c r="E69" s="369">
        <v>0</v>
      </c>
      <c r="F69" s="368">
        <v>-55</v>
      </c>
      <c r="G69" s="369">
        <v>0</v>
      </c>
      <c r="H69" s="368">
        <v>-55</v>
      </c>
      <c r="I69" s="369">
        <v>0</v>
      </c>
      <c r="J69" s="368">
        <v>-55</v>
      </c>
      <c r="K69" s="369">
        <v>0</v>
      </c>
      <c r="L69" s="368">
        <v>-60</v>
      </c>
      <c r="M69" s="369">
        <v>0</v>
      </c>
      <c r="N69" s="368">
        <v>-55</v>
      </c>
      <c r="O69" s="370">
        <v>-340</v>
      </c>
    </row>
    <row r="70" spans="2:15" ht="14" customHeight="1">
      <c r="B70" s="313" t="s">
        <v>1096</v>
      </c>
      <c r="C70" s="369">
        <v>0</v>
      </c>
      <c r="D70" s="369">
        <v>0</v>
      </c>
      <c r="E70" s="369">
        <v>0</v>
      </c>
      <c r="F70" s="369">
        <v>0</v>
      </c>
      <c r="G70" s="369">
        <v>0</v>
      </c>
      <c r="H70" s="369">
        <v>0</v>
      </c>
      <c r="I70" s="369">
        <v>0</v>
      </c>
      <c r="J70" s="368">
        <v>-15</v>
      </c>
      <c r="K70" s="368">
        <v>-130</v>
      </c>
      <c r="L70" s="369">
        <v>0</v>
      </c>
      <c r="M70" s="369">
        <v>0</v>
      </c>
      <c r="N70" s="369">
        <v>0</v>
      </c>
      <c r="O70" s="370">
        <v>-145</v>
      </c>
    </row>
    <row r="71" spans="2:15" ht="14" customHeight="1">
      <c r="B71" s="313" t="s">
        <v>1097</v>
      </c>
      <c r="C71" s="369">
        <v>0</v>
      </c>
      <c r="D71" s="369">
        <v>0</v>
      </c>
      <c r="E71" s="368">
        <v>-10</v>
      </c>
      <c r="F71" s="369">
        <v>0</v>
      </c>
      <c r="G71" s="369">
        <v>0</v>
      </c>
      <c r="H71" s="369">
        <v>0</v>
      </c>
      <c r="I71" s="369">
        <v>0</v>
      </c>
      <c r="J71" s="368">
        <v>-55</v>
      </c>
      <c r="K71" s="369">
        <v>0</v>
      </c>
      <c r="L71" s="369">
        <v>0</v>
      </c>
      <c r="M71" s="369">
        <v>0</v>
      </c>
      <c r="N71" s="369">
        <v>0</v>
      </c>
      <c r="O71" s="370">
        <v>-65</v>
      </c>
    </row>
    <row r="72" spans="2:15" ht="14" customHeight="1">
      <c r="B72" s="313" t="s">
        <v>1098</v>
      </c>
      <c r="C72" s="368">
        <v>-60</v>
      </c>
      <c r="D72" s="369">
        <v>0</v>
      </c>
      <c r="E72" s="368">
        <v>-25</v>
      </c>
      <c r="F72" s="369">
        <v>0</v>
      </c>
      <c r="G72" s="369">
        <v>0</v>
      </c>
      <c r="H72" s="369">
        <v>0</v>
      </c>
      <c r="I72" s="369">
        <v>0</v>
      </c>
      <c r="J72" s="369">
        <v>0</v>
      </c>
      <c r="K72" s="369">
        <v>0</v>
      </c>
      <c r="L72" s="369">
        <v>0</v>
      </c>
      <c r="M72" s="369">
        <v>0</v>
      </c>
      <c r="N72" s="368">
        <v>-25</v>
      </c>
      <c r="O72" s="370">
        <v>-110</v>
      </c>
    </row>
    <row r="73" spans="2:15" ht="14" customHeight="1">
      <c r="B73" s="313" t="s">
        <v>1113</v>
      </c>
      <c r="C73" s="369">
        <v>0</v>
      </c>
      <c r="D73" s="369">
        <v>0</v>
      </c>
      <c r="E73" s="369">
        <v>0</v>
      </c>
      <c r="F73" s="369">
        <v>0</v>
      </c>
      <c r="G73" s="369">
        <v>0</v>
      </c>
      <c r="H73" s="369">
        <v>0</v>
      </c>
      <c r="I73" s="369">
        <v>0</v>
      </c>
      <c r="J73" s="369">
        <v>0</v>
      </c>
      <c r="K73" s="369">
        <v>0</v>
      </c>
      <c r="L73" s="368">
        <v>-675</v>
      </c>
      <c r="M73" s="369">
        <v>0</v>
      </c>
      <c r="N73" s="369">
        <v>0</v>
      </c>
      <c r="O73" s="370">
        <v>-675</v>
      </c>
    </row>
    <row r="74" spans="2:15" ht="14" customHeight="1">
      <c r="B74" s="313" t="s">
        <v>1099</v>
      </c>
      <c r="C74" s="368">
        <v>-105</v>
      </c>
      <c r="D74" s="368">
        <v>-130</v>
      </c>
      <c r="E74" s="368">
        <v>-75</v>
      </c>
      <c r="F74" s="368">
        <v>-25</v>
      </c>
      <c r="G74" s="368">
        <v>-25</v>
      </c>
      <c r="H74" s="368">
        <v>-125</v>
      </c>
      <c r="I74" s="368">
        <v>-90</v>
      </c>
      <c r="J74" s="368">
        <v>-35</v>
      </c>
      <c r="K74" s="368">
        <v>-60</v>
      </c>
      <c r="L74" s="368">
        <v>-70</v>
      </c>
      <c r="M74" s="368">
        <v>-25</v>
      </c>
      <c r="N74" s="368">
        <v>-35</v>
      </c>
      <c r="O74" s="370">
        <v>-800</v>
      </c>
    </row>
    <row r="75" spans="2:15" ht="14" customHeight="1">
      <c r="B75" s="313" t="s">
        <v>1114</v>
      </c>
      <c r="C75" s="369">
        <v>0</v>
      </c>
      <c r="D75" s="369">
        <v>0</v>
      </c>
      <c r="E75" s="369">
        <v>0</v>
      </c>
      <c r="F75" s="369">
        <v>0</v>
      </c>
      <c r="G75" s="369">
        <v>0</v>
      </c>
      <c r="H75" s="369">
        <v>0</v>
      </c>
      <c r="I75" s="368">
        <v>-105</v>
      </c>
      <c r="J75" s="369">
        <v>0</v>
      </c>
      <c r="K75" s="369">
        <v>0</v>
      </c>
      <c r="L75" s="369">
        <v>0</v>
      </c>
      <c r="M75" s="369">
        <v>0</v>
      </c>
      <c r="N75" s="369">
        <v>0</v>
      </c>
      <c r="O75" s="370">
        <v>-105</v>
      </c>
    </row>
    <row r="76" spans="2:15" ht="14" customHeight="1">
      <c r="B76" s="313" t="s">
        <v>1100</v>
      </c>
      <c r="C76" s="371">
        <v>2025</v>
      </c>
      <c r="D76" s="371">
        <v>1945</v>
      </c>
      <c r="E76" s="371">
        <v>1945</v>
      </c>
      <c r="F76" s="371">
        <v>3275</v>
      </c>
      <c r="G76" s="371">
        <v>1995</v>
      </c>
      <c r="H76" s="371">
        <v>2000</v>
      </c>
      <c r="I76" s="371">
        <v>4345</v>
      </c>
      <c r="J76" s="371">
        <v>2005</v>
      </c>
      <c r="K76" s="371">
        <v>2175</v>
      </c>
      <c r="L76" s="371">
        <v>4275</v>
      </c>
      <c r="M76" s="371">
        <v>1960</v>
      </c>
      <c r="N76" s="371">
        <v>4300</v>
      </c>
      <c r="O76" s="370">
        <v>32245</v>
      </c>
    </row>
    <row r="77" spans="2:15" ht="14" customHeight="1">
      <c r="B77" s="313" t="s">
        <v>121</v>
      </c>
      <c r="C77" s="368">
        <v>-60</v>
      </c>
      <c r="D77" s="368">
        <v>-60</v>
      </c>
      <c r="E77" s="368">
        <v>-35</v>
      </c>
      <c r="F77" s="369">
        <v>0</v>
      </c>
      <c r="G77" s="368">
        <v>-25</v>
      </c>
      <c r="H77" s="368">
        <v>-25</v>
      </c>
      <c r="I77" s="368">
        <v>-75</v>
      </c>
      <c r="J77" s="368">
        <v>-50</v>
      </c>
      <c r="K77" s="368">
        <v>-80</v>
      </c>
      <c r="L77" s="368">
        <v>-75</v>
      </c>
      <c r="M77" s="368">
        <v>-50</v>
      </c>
      <c r="N77" s="368">
        <v>-45</v>
      </c>
      <c r="O77" s="370">
        <v>-580</v>
      </c>
    </row>
    <row r="78" spans="2:15" ht="14" customHeight="1">
      <c r="B78" s="313" t="s">
        <v>123</v>
      </c>
      <c r="C78" s="369">
        <v>0</v>
      </c>
      <c r="D78" s="369">
        <v>0</v>
      </c>
      <c r="E78" s="369">
        <v>0</v>
      </c>
      <c r="F78" s="369">
        <v>0</v>
      </c>
      <c r="G78" s="369">
        <v>0</v>
      </c>
      <c r="H78" s="369">
        <v>0</v>
      </c>
      <c r="I78" s="369">
        <v>0</v>
      </c>
      <c r="J78" s="369">
        <v>0</v>
      </c>
      <c r="K78" s="368">
        <v>-40</v>
      </c>
      <c r="L78" s="369">
        <v>0</v>
      </c>
      <c r="M78" s="369">
        <v>0</v>
      </c>
      <c r="N78" s="369">
        <v>0</v>
      </c>
      <c r="O78" s="370">
        <v>-40</v>
      </c>
    </row>
    <row r="79" spans="2:15" ht="14" customHeight="1">
      <c r="B79" s="313" t="s">
        <v>1101</v>
      </c>
      <c r="C79" s="368">
        <v>-50</v>
      </c>
      <c r="D79" s="368">
        <v>-10</v>
      </c>
      <c r="E79" s="368">
        <v>-20</v>
      </c>
      <c r="F79" s="369">
        <v>0</v>
      </c>
      <c r="G79" s="369">
        <v>0</v>
      </c>
      <c r="H79" s="368">
        <v>-50</v>
      </c>
      <c r="I79" s="369">
        <v>0</v>
      </c>
      <c r="J79" s="369">
        <v>0</v>
      </c>
      <c r="K79" s="369">
        <v>0</v>
      </c>
      <c r="L79" s="368">
        <v>-50</v>
      </c>
      <c r="M79" s="369">
        <v>0</v>
      </c>
      <c r="N79" s="369">
        <v>0</v>
      </c>
      <c r="O79" s="370">
        <v>-180</v>
      </c>
    </row>
    <row r="80" spans="2:15" ht="14" customHeight="1">
      <c r="B80" s="313" t="s">
        <v>1102</v>
      </c>
      <c r="C80" s="368">
        <v>-210</v>
      </c>
      <c r="D80" s="368">
        <v>-40</v>
      </c>
      <c r="E80" s="368">
        <v>-40</v>
      </c>
      <c r="F80" s="369">
        <v>0</v>
      </c>
      <c r="G80" s="369">
        <v>0</v>
      </c>
      <c r="H80" s="368">
        <v>-10</v>
      </c>
      <c r="I80" s="368">
        <v>-70</v>
      </c>
      <c r="J80" s="368">
        <v>-45</v>
      </c>
      <c r="K80" s="368">
        <v>-65</v>
      </c>
      <c r="L80" s="368">
        <v>-60</v>
      </c>
      <c r="M80" s="369">
        <v>0</v>
      </c>
      <c r="N80" s="369">
        <v>0</v>
      </c>
      <c r="O80" s="370">
        <v>-540</v>
      </c>
    </row>
    <row r="81" spans="2:15" ht="14" customHeight="1">
      <c r="B81" s="313" t="s">
        <v>1103</v>
      </c>
      <c r="C81" s="369">
        <v>0</v>
      </c>
      <c r="D81" s="369">
        <v>0</v>
      </c>
      <c r="E81" s="368">
        <v>-180</v>
      </c>
      <c r="F81" s="369">
        <v>0</v>
      </c>
      <c r="G81" s="369">
        <v>0</v>
      </c>
      <c r="H81" s="369">
        <v>0</v>
      </c>
      <c r="I81" s="369">
        <v>0</v>
      </c>
      <c r="J81" s="369">
        <v>0</v>
      </c>
      <c r="K81" s="369">
        <v>0</v>
      </c>
      <c r="L81" s="369">
        <v>0</v>
      </c>
      <c r="M81" s="369">
        <v>0</v>
      </c>
      <c r="N81" s="369">
        <v>0</v>
      </c>
      <c r="O81" s="370">
        <v>-180</v>
      </c>
    </row>
    <row r="82" spans="2:15" ht="14" customHeight="1">
      <c r="B82" s="313" t="s">
        <v>127</v>
      </c>
      <c r="C82" s="369">
        <v>0</v>
      </c>
      <c r="D82" s="368">
        <v>-35</v>
      </c>
      <c r="E82" s="368">
        <v>-5</v>
      </c>
      <c r="F82" s="368">
        <v>-180</v>
      </c>
      <c r="G82" s="368">
        <v>-30</v>
      </c>
      <c r="H82" s="368">
        <v>-25</v>
      </c>
      <c r="I82" s="369">
        <v>0</v>
      </c>
      <c r="J82" s="368">
        <v>-60</v>
      </c>
      <c r="K82" s="369">
        <v>0</v>
      </c>
      <c r="L82" s="369">
        <v>0</v>
      </c>
      <c r="M82" s="369">
        <v>0</v>
      </c>
      <c r="N82" s="368">
        <v>-945</v>
      </c>
      <c r="O82" s="370">
        <v>-1280</v>
      </c>
    </row>
    <row r="83" spans="2:15" ht="14" customHeight="1">
      <c r="B83" s="313" t="s">
        <v>1105</v>
      </c>
      <c r="C83" s="369">
        <v>0</v>
      </c>
      <c r="D83" s="368">
        <v>-60</v>
      </c>
      <c r="E83" s="369">
        <v>0</v>
      </c>
      <c r="F83" s="369">
        <v>0</v>
      </c>
      <c r="G83" s="369">
        <v>0</v>
      </c>
      <c r="H83" s="369">
        <v>0</v>
      </c>
      <c r="I83" s="369">
        <v>0</v>
      </c>
      <c r="J83" s="369">
        <v>0</v>
      </c>
      <c r="K83" s="369">
        <v>0</v>
      </c>
      <c r="L83" s="369">
        <v>0</v>
      </c>
      <c r="M83" s="369">
        <v>0</v>
      </c>
      <c r="N83" s="369">
        <v>0</v>
      </c>
      <c r="O83" s="370">
        <v>-60</v>
      </c>
    </row>
    <row r="84" spans="2:15" ht="14" customHeight="1">
      <c r="B84" s="313" t="s">
        <v>1107</v>
      </c>
      <c r="C84" s="368">
        <v>-15</v>
      </c>
      <c r="D84" s="369">
        <v>0</v>
      </c>
      <c r="E84" s="369">
        <v>0</v>
      </c>
      <c r="F84" s="369">
        <v>0</v>
      </c>
      <c r="G84" s="369">
        <v>0</v>
      </c>
      <c r="H84" s="369">
        <v>0</v>
      </c>
      <c r="I84" s="369">
        <v>0</v>
      </c>
      <c r="J84" s="369">
        <v>0</v>
      </c>
      <c r="K84" s="369">
        <v>0</v>
      </c>
      <c r="L84" s="369">
        <v>0</v>
      </c>
      <c r="M84" s="369">
        <v>0</v>
      </c>
      <c r="N84" s="369">
        <v>0</v>
      </c>
      <c r="O84" s="370">
        <v>-15</v>
      </c>
    </row>
    <row r="85" spans="2:15" ht="14" customHeight="1">
      <c r="B85" s="313" t="s">
        <v>1109</v>
      </c>
      <c r="C85" s="368">
        <v>-170</v>
      </c>
      <c r="D85" s="369">
        <v>0</v>
      </c>
      <c r="E85" s="369">
        <v>0</v>
      </c>
      <c r="F85" s="369">
        <v>0</v>
      </c>
      <c r="G85" s="369">
        <v>0</v>
      </c>
      <c r="H85" s="369">
        <v>0</v>
      </c>
      <c r="I85" s="369">
        <v>0</v>
      </c>
      <c r="J85" s="369">
        <v>0</v>
      </c>
      <c r="K85" s="369">
        <v>0</v>
      </c>
      <c r="L85" s="369">
        <v>0</v>
      </c>
      <c r="M85" s="369">
        <v>0</v>
      </c>
      <c r="N85" s="369">
        <v>0</v>
      </c>
      <c r="O85" s="370">
        <v>-170</v>
      </c>
    </row>
    <row r="86" spans="2:15" ht="14" customHeight="1">
      <c r="B86" s="313" t="s">
        <v>1110</v>
      </c>
      <c r="C86" s="368">
        <v>-15</v>
      </c>
      <c r="D86" s="368">
        <v>-15</v>
      </c>
      <c r="E86" s="368">
        <v>-15</v>
      </c>
      <c r="F86" s="368">
        <v>-15</v>
      </c>
      <c r="G86" s="368">
        <v>-15</v>
      </c>
      <c r="H86" s="368">
        <v>-15</v>
      </c>
      <c r="I86" s="368">
        <v>-15</v>
      </c>
      <c r="J86" s="368">
        <v>-15</v>
      </c>
      <c r="K86" s="368">
        <v>-15</v>
      </c>
      <c r="L86" s="368">
        <v>-15</v>
      </c>
      <c r="M86" s="368">
        <v>-15</v>
      </c>
      <c r="N86" s="368">
        <v>-15</v>
      </c>
      <c r="O86" s="370">
        <v>-180</v>
      </c>
    </row>
    <row r="87" spans="2:15" ht="14" customHeight="1">
      <c r="B87" s="313" t="s">
        <v>1115</v>
      </c>
      <c r="C87" s="369">
        <v>0</v>
      </c>
      <c r="D87" s="369">
        <v>0</v>
      </c>
      <c r="E87" s="369">
        <v>0</v>
      </c>
      <c r="F87" s="369">
        <v>0</v>
      </c>
      <c r="G87" s="369">
        <v>0</v>
      </c>
      <c r="H87" s="369">
        <v>0</v>
      </c>
      <c r="I87" s="368">
        <v>-35</v>
      </c>
      <c r="J87" s="369">
        <v>0</v>
      </c>
      <c r="K87" s="369">
        <v>0</v>
      </c>
      <c r="L87" s="369">
        <v>0</v>
      </c>
      <c r="M87" s="369">
        <v>0</v>
      </c>
      <c r="N87" s="369">
        <v>0</v>
      </c>
      <c r="O87" s="370">
        <v>-35</v>
      </c>
    </row>
    <row r="88" spans="2:15" ht="14" customHeight="1">
      <c r="B88" s="313" t="s">
        <v>207</v>
      </c>
      <c r="C88" s="369">
        <v>0</v>
      </c>
      <c r="D88" s="369">
        <v>0</v>
      </c>
      <c r="E88" s="368">
        <v>-10</v>
      </c>
      <c r="F88" s="368">
        <v>-130</v>
      </c>
      <c r="G88" s="369">
        <v>0</v>
      </c>
      <c r="H88" s="369">
        <v>0</v>
      </c>
      <c r="I88" s="372">
        <v>-1195</v>
      </c>
      <c r="J88" s="369">
        <v>0</v>
      </c>
      <c r="K88" s="369">
        <v>0</v>
      </c>
      <c r="L88" s="369">
        <v>0</v>
      </c>
      <c r="M88" s="368">
        <v>-215</v>
      </c>
      <c r="N88" s="368">
        <v>-110</v>
      </c>
      <c r="O88" s="370">
        <v>-1660</v>
      </c>
    </row>
    <row r="89" spans="2:15" ht="14" customHeight="1">
      <c r="B89" s="313" t="s">
        <v>209</v>
      </c>
      <c r="C89" s="368">
        <v>-20</v>
      </c>
      <c r="D89" s="368">
        <v>-10</v>
      </c>
      <c r="E89" s="368">
        <v>-10</v>
      </c>
      <c r="F89" s="369">
        <v>0</v>
      </c>
      <c r="G89" s="369">
        <v>0</v>
      </c>
      <c r="H89" s="369">
        <v>0</v>
      </c>
      <c r="I89" s="369">
        <v>0</v>
      </c>
      <c r="J89" s="369">
        <v>0</v>
      </c>
      <c r="K89" s="369">
        <v>0</v>
      </c>
      <c r="L89" s="369">
        <v>0</v>
      </c>
      <c r="M89" s="369">
        <v>0</v>
      </c>
      <c r="N89" s="369">
        <v>0</v>
      </c>
      <c r="O89" s="370">
        <v>-40</v>
      </c>
    </row>
    <row r="90" spans="2:15" ht="14" customHeight="1">
      <c r="B90" s="313" t="s">
        <v>32</v>
      </c>
      <c r="C90" s="369">
        <v>0</v>
      </c>
      <c r="D90" s="369">
        <v>0</v>
      </c>
      <c r="E90" s="369">
        <v>0</v>
      </c>
      <c r="F90" s="369">
        <v>0</v>
      </c>
      <c r="G90" s="369">
        <v>0</v>
      </c>
      <c r="H90" s="369">
        <v>0</v>
      </c>
      <c r="I90" s="372">
        <v>-1350</v>
      </c>
      <c r="J90" s="368">
        <v>-600</v>
      </c>
      <c r="K90" s="368">
        <v>-225</v>
      </c>
      <c r="L90" s="369">
        <v>0</v>
      </c>
      <c r="M90" s="369">
        <v>0</v>
      </c>
      <c r="N90" s="369">
        <v>0</v>
      </c>
      <c r="O90" s="370">
        <v>-2175</v>
      </c>
    </row>
    <row r="91" spans="2:15" ht="14" customHeight="1">
      <c r="B91" s="313" t="s">
        <v>9</v>
      </c>
      <c r="C91" s="368">
        <v>-15</v>
      </c>
      <c r="D91" s="368">
        <v>-15</v>
      </c>
      <c r="E91" s="368">
        <v>-15</v>
      </c>
      <c r="F91" s="368">
        <v>-15</v>
      </c>
      <c r="G91" s="368">
        <v>-15</v>
      </c>
      <c r="H91" s="368">
        <v>-15</v>
      </c>
      <c r="I91" s="368">
        <v>-15</v>
      </c>
      <c r="J91" s="368">
        <v>-15</v>
      </c>
      <c r="K91" s="368">
        <v>-15</v>
      </c>
      <c r="L91" s="368">
        <v>-15</v>
      </c>
      <c r="M91" s="368">
        <v>-15</v>
      </c>
      <c r="N91" s="368">
        <v>-15</v>
      </c>
      <c r="O91" s="370">
        <v>-180</v>
      </c>
    </row>
    <row r="92" spans="2:15" ht="14" customHeight="1">
      <c r="B92" s="313" t="s">
        <v>1112</v>
      </c>
      <c r="C92" s="370">
        <v>2025</v>
      </c>
      <c r="D92" s="370">
        <v>1945</v>
      </c>
      <c r="E92" s="370">
        <v>1945</v>
      </c>
      <c r="F92" s="370">
        <v>3275</v>
      </c>
      <c r="G92" s="370">
        <v>1995</v>
      </c>
      <c r="H92" s="370">
        <v>2000</v>
      </c>
      <c r="I92" s="370">
        <v>4345</v>
      </c>
      <c r="J92" s="370">
        <v>2005</v>
      </c>
      <c r="K92" s="370">
        <v>2175</v>
      </c>
      <c r="L92" s="370">
        <v>4275</v>
      </c>
      <c r="M92" s="370">
        <v>1960</v>
      </c>
      <c r="N92" s="370">
        <v>4300</v>
      </c>
      <c r="O92" s="370">
        <v>32245</v>
      </c>
    </row>
    <row r="93" spans="2:15" ht="14" customHeight="1">
      <c r="B93" s="313" t="s">
        <v>67</v>
      </c>
      <c r="C93" s="370">
        <v>-2020</v>
      </c>
      <c r="D93" s="370">
        <v>-1895</v>
      </c>
      <c r="E93" s="370">
        <v>-1735</v>
      </c>
      <c r="F93" s="370">
        <v>-1745</v>
      </c>
      <c r="G93" s="370">
        <v>-1515</v>
      </c>
      <c r="H93" s="370">
        <v>-1865</v>
      </c>
      <c r="I93" s="370">
        <v>-4605</v>
      </c>
      <c r="J93" s="370">
        <v>-2300</v>
      </c>
      <c r="K93" s="370">
        <v>-1995</v>
      </c>
      <c r="L93" s="370">
        <v>-2540</v>
      </c>
      <c r="M93" s="370">
        <v>-1755</v>
      </c>
      <c r="N93" s="370">
        <v>-3725</v>
      </c>
      <c r="O93" s="370">
        <v>-27695</v>
      </c>
    </row>
    <row r="94" spans="2:15" ht="14" customHeight="1">
      <c r="B94" s="313" t="s">
        <v>93</v>
      </c>
      <c r="C94" s="370">
        <v>5</v>
      </c>
      <c r="D94" s="370">
        <v>50</v>
      </c>
      <c r="E94" s="370">
        <v>210</v>
      </c>
      <c r="F94" s="370">
        <v>1530</v>
      </c>
      <c r="G94" s="370">
        <v>480</v>
      </c>
      <c r="H94" s="370">
        <v>135</v>
      </c>
      <c r="I94" s="370">
        <v>-260</v>
      </c>
      <c r="J94" s="370">
        <v>-295</v>
      </c>
      <c r="K94" s="370">
        <v>180</v>
      </c>
      <c r="L94" s="370">
        <v>1735</v>
      </c>
      <c r="M94" s="370">
        <v>205</v>
      </c>
      <c r="N94" s="370">
        <v>575</v>
      </c>
      <c r="O94" s="370">
        <v>4550</v>
      </c>
    </row>
    <row r="97" spans="2:15" ht="20" customHeight="1">
      <c r="B97" s="298">
        <v>2021</v>
      </c>
    </row>
    <row r="98" spans="2:15" ht="15" customHeight="1">
      <c r="B98" s="1029" t="s">
        <v>1116</v>
      </c>
      <c r="C98" s="299" t="s">
        <v>76</v>
      </c>
      <c r="D98" s="299" t="s">
        <v>285</v>
      </c>
      <c r="E98" s="299" t="s">
        <v>218</v>
      </c>
      <c r="F98" s="299" t="s">
        <v>286</v>
      </c>
      <c r="G98" s="299" t="s">
        <v>167</v>
      </c>
      <c r="H98" s="299" t="s">
        <v>287</v>
      </c>
      <c r="I98" s="299" t="s">
        <v>220</v>
      </c>
      <c r="J98" s="299" t="s">
        <v>288</v>
      </c>
      <c r="K98" s="299" t="s">
        <v>290</v>
      </c>
      <c r="L98" s="299" t="s">
        <v>221</v>
      </c>
      <c r="M98" s="299" t="s">
        <v>291</v>
      </c>
      <c r="N98" s="299" t="s">
        <v>222</v>
      </c>
      <c r="O98" s="1027" t="s">
        <v>1079</v>
      </c>
    </row>
    <row r="99" spans="2:15">
      <c r="B99" s="1016"/>
      <c r="C99" s="971">
        <v>2021</v>
      </c>
      <c r="D99" s="971">
        <v>2021</v>
      </c>
      <c r="E99" s="971">
        <v>2021</v>
      </c>
      <c r="F99" s="971">
        <v>2021</v>
      </c>
      <c r="G99" s="971">
        <v>2021</v>
      </c>
      <c r="H99" s="971">
        <v>2021</v>
      </c>
      <c r="I99" s="971">
        <v>2021</v>
      </c>
      <c r="J99" s="971">
        <v>2021</v>
      </c>
      <c r="K99" s="971">
        <v>2021</v>
      </c>
      <c r="L99" s="971">
        <v>2021</v>
      </c>
      <c r="M99" s="971">
        <v>2021</v>
      </c>
      <c r="N99" s="971">
        <v>2021</v>
      </c>
      <c r="O99" s="1016"/>
    </row>
    <row r="100" spans="2:15" ht="14" customHeight="1">
      <c r="B100" s="313" t="s">
        <v>91</v>
      </c>
      <c r="C100" s="368">
        <v>-30</v>
      </c>
      <c r="D100" s="368">
        <v>-30</v>
      </c>
      <c r="E100" s="368">
        <v>-30</v>
      </c>
      <c r="F100" s="368">
        <v>-30</v>
      </c>
      <c r="G100" s="369">
        <v>0</v>
      </c>
      <c r="H100" s="369">
        <v>0</v>
      </c>
      <c r="I100" s="369">
        <v>0</v>
      </c>
      <c r="J100" s="369">
        <v>0</v>
      </c>
      <c r="K100" s="369">
        <v>0</v>
      </c>
      <c r="L100" s="369">
        <v>0</v>
      </c>
      <c r="M100" s="369">
        <v>0</v>
      </c>
      <c r="N100" s="369">
        <v>0</v>
      </c>
      <c r="O100" s="370">
        <v>-120</v>
      </c>
    </row>
    <row r="101" spans="2:15" ht="14" customHeight="1">
      <c r="B101" s="313" t="s">
        <v>1081</v>
      </c>
      <c r="C101" s="369">
        <v>0</v>
      </c>
      <c r="D101" s="369">
        <v>0</v>
      </c>
      <c r="E101" s="369">
        <v>0</v>
      </c>
      <c r="F101" s="368">
        <v>-30</v>
      </c>
      <c r="G101" s="369">
        <v>0</v>
      </c>
      <c r="H101" s="369">
        <v>0</v>
      </c>
      <c r="I101" s="369">
        <v>0</v>
      </c>
      <c r="J101" s="369">
        <v>0</v>
      </c>
      <c r="K101" s="369">
        <v>0</v>
      </c>
      <c r="L101" s="369">
        <v>0</v>
      </c>
      <c r="M101" s="368">
        <v>-30</v>
      </c>
      <c r="N101" s="369">
        <v>0</v>
      </c>
      <c r="O101" s="370">
        <v>-60</v>
      </c>
    </row>
    <row r="102" spans="2:15" ht="14" customHeight="1">
      <c r="B102" s="313" t="s">
        <v>1084</v>
      </c>
      <c r="C102" s="368">
        <v>-400</v>
      </c>
      <c r="D102" s="368">
        <v>-200</v>
      </c>
      <c r="E102" s="368">
        <v>-200</v>
      </c>
      <c r="F102" s="368">
        <v>-300</v>
      </c>
      <c r="G102" s="369">
        <v>0</v>
      </c>
      <c r="H102" s="368">
        <v>-200</v>
      </c>
      <c r="I102" s="368">
        <v>-300</v>
      </c>
      <c r="J102" s="369">
        <v>0</v>
      </c>
      <c r="K102" s="368">
        <v>-150</v>
      </c>
      <c r="L102" s="368">
        <v>-300</v>
      </c>
      <c r="M102" s="368">
        <v>-150</v>
      </c>
      <c r="N102" s="368">
        <v>-150</v>
      </c>
      <c r="O102" s="370">
        <v>-2350</v>
      </c>
    </row>
    <row r="103" spans="2:15" ht="14" customHeight="1">
      <c r="B103" s="313" t="s">
        <v>1083</v>
      </c>
      <c r="C103" s="369">
        <v>0</v>
      </c>
      <c r="D103" s="369">
        <v>0</v>
      </c>
      <c r="E103" s="369">
        <v>0</v>
      </c>
      <c r="F103" s="369">
        <v>0</v>
      </c>
      <c r="G103" s="368">
        <v>-70</v>
      </c>
      <c r="H103" s="369">
        <v>0</v>
      </c>
      <c r="I103" s="369">
        <v>0</v>
      </c>
      <c r="J103" s="369">
        <v>0</v>
      </c>
      <c r="K103" s="369">
        <v>0</v>
      </c>
      <c r="L103" s="369">
        <v>0</v>
      </c>
      <c r="M103" s="369">
        <v>0</v>
      </c>
      <c r="N103" s="368">
        <v>-80</v>
      </c>
      <c r="O103" s="370">
        <v>-150</v>
      </c>
    </row>
    <row r="104" spans="2:15" ht="14" customHeight="1">
      <c r="B104" s="313" t="s">
        <v>1080</v>
      </c>
      <c r="C104" s="369">
        <v>0</v>
      </c>
      <c r="D104" s="369">
        <v>0</v>
      </c>
      <c r="E104" s="369">
        <v>0</v>
      </c>
      <c r="F104" s="369">
        <v>0</v>
      </c>
      <c r="G104" s="369">
        <v>0</v>
      </c>
      <c r="H104" s="369">
        <v>0</v>
      </c>
      <c r="I104" s="369">
        <v>0</v>
      </c>
      <c r="J104" s="369">
        <v>0</v>
      </c>
      <c r="K104" s="368">
        <v>-165</v>
      </c>
      <c r="L104" s="369">
        <v>0</v>
      </c>
      <c r="M104" s="369">
        <v>0</v>
      </c>
      <c r="N104" s="369">
        <v>0</v>
      </c>
      <c r="O104" s="370">
        <v>-165</v>
      </c>
    </row>
    <row r="105" spans="2:15" ht="14" customHeight="1">
      <c r="B105" s="313" t="s">
        <v>1085</v>
      </c>
      <c r="C105" s="368">
        <v>-290</v>
      </c>
      <c r="D105" s="368">
        <v>-360</v>
      </c>
      <c r="E105" s="368">
        <v>-235</v>
      </c>
      <c r="F105" s="368">
        <v>-390</v>
      </c>
      <c r="G105" s="368">
        <v>-310</v>
      </c>
      <c r="H105" s="368">
        <v>-270</v>
      </c>
      <c r="I105" s="368">
        <v>-455</v>
      </c>
      <c r="J105" s="368">
        <v>-110</v>
      </c>
      <c r="K105" s="368">
        <v>-240</v>
      </c>
      <c r="L105" s="368">
        <v>-260</v>
      </c>
      <c r="M105" s="368">
        <v>-295</v>
      </c>
      <c r="N105" s="368">
        <v>-440</v>
      </c>
      <c r="O105" s="370">
        <v>-3655</v>
      </c>
    </row>
    <row r="106" spans="2:15" ht="14" customHeight="1">
      <c r="B106" s="313" t="s">
        <v>1087</v>
      </c>
      <c r="C106" s="369">
        <v>0</v>
      </c>
      <c r="D106" s="369">
        <v>0</v>
      </c>
      <c r="E106" s="369">
        <v>0</v>
      </c>
      <c r="F106" s="369">
        <v>0</v>
      </c>
      <c r="G106" s="369">
        <v>0</v>
      </c>
      <c r="H106" s="369">
        <v>0</v>
      </c>
      <c r="I106" s="369">
        <v>0</v>
      </c>
      <c r="J106" s="369">
        <v>0</v>
      </c>
      <c r="K106" s="369">
        <v>0</v>
      </c>
      <c r="L106" s="368">
        <v>-115</v>
      </c>
      <c r="M106" s="369">
        <v>0</v>
      </c>
      <c r="N106" s="369">
        <v>0</v>
      </c>
      <c r="O106" s="370">
        <v>-115</v>
      </c>
    </row>
    <row r="107" spans="2:15" ht="14" customHeight="1">
      <c r="B107" s="313" t="s">
        <v>1086</v>
      </c>
      <c r="C107" s="369">
        <v>0</v>
      </c>
      <c r="D107" s="369">
        <v>0</v>
      </c>
      <c r="E107" s="369">
        <v>0</v>
      </c>
      <c r="F107" s="368">
        <v>-65</v>
      </c>
      <c r="G107" s="369">
        <v>0</v>
      </c>
      <c r="H107" s="369">
        <v>0</v>
      </c>
      <c r="I107" s="369">
        <v>0</v>
      </c>
      <c r="J107" s="369">
        <v>0</v>
      </c>
      <c r="K107" s="369">
        <v>0</v>
      </c>
      <c r="L107" s="368">
        <v>-25</v>
      </c>
      <c r="M107" s="369">
        <v>0</v>
      </c>
      <c r="N107" s="369">
        <v>0</v>
      </c>
      <c r="O107" s="370">
        <v>-90</v>
      </c>
    </row>
    <row r="108" spans="2:15" ht="14" customHeight="1">
      <c r="B108" s="313" t="s">
        <v>1088</v>
      </c>
      <c r="C108" s="369">
        <v>0</v>
      </c>
      <c r="D108" s="369">
        <v>0</v>
      </c>
      <c r="E108" s="369">
        <v>0</v>
      </c>
      <c r="F108" s="369">
        <v>0</v>
      </c>
      <c r="G108" s="369">
        <v>0</v>
      </c>
      <c r="H108" s="369">
        <v>0</v>
      </c>
      <c r="I108" s="369">
        <v>0</v>
      </c>
      <c r="J108" s="369">
        <v>0</v>
      </c>
      <c r="K108" s="369">
        <v>0</v>
      </c>
      <c r="L108" s="369">
        <v>0</v>
      </c>
      <c r="M108" s="369">
        <v>0</v>
      </c>
      <c r="N108" s="368">
        <v>-20</v>
      </c>
      <c r="O108" s="370">
        <v>-20</v>
      </c>
    </row>
    <row r="109" spans="2:15" ht="14" customHeight="1">
      <c r="B109" s="313" t="s">
        <v>1090</v>
      </c>
      <c r="C109" s="369">
        <v>0</v>
      </c>
      <c r="D109" s="369">
        <v>0</v>
      </c>
      <c r="E109" s="369">
        <v>0</v>
      </c>
      <c r="F109" s="368">
        <v>-110</v>
      </c>
      <c r="G109" s="369">
        <v>0</v>
      </c>
      <c r="H109" s="369">
        <v>0</v>
      </c>
      <c r="I109" s="369">
        <v>0</v>
      </c>
      <c r="J109" s="369">
        <v>0</v>
      </c>
      <c r="K109" s="369">
        <v>0</v>
      </c>
      <c r="L109" s="369">
        <v>0</v>
      </c>
      <c r="M109" s="369">
        <v>0</v>
      </c>
      <c r="N109" s="369">
        <v>0</v>
      </c>
      <c r="O109" s="370">
        <v>-110</v>
      </c>
    </row>
    <row r="110" spans="2:15" ht="14" customHeight="1">
      <c r="B110" s="313" t="s">
        <v>1095</v>
      </c>
      <c r="C110" s="369">
        <v>0</v>
      </c>
      <c r="D110" s="368">
        <v>-60</v>
      </c>
      <c r="E110" s="369">
        <v>0</v>
      </c>
      <c r="F110" s="368">
        <v>-70</v>
      </c>
      <c r="G110" s="369">
        <v>0</v>
      </c>
      <c r="H110" s="368">
        <v>-65</v>
      </c>
      <c r="I110" s="369">
        <v>0</v>
      </c>
      <c r="J110" s="368">
        <v>-60</v>
      </c>
      <c r="K110" s="369">
        <v>0</v>
      </c>
      <c r="L110" s="368">
        <v>-65</v>
      </c>
      <c r="M110" s="369">
        <v>0</v>
      </c>
      <c r="N110" s="368">
        <v>-55</v>
      </c>
      <c r="O110" s="370">
        <v>-375</v>
      </c>
    </row>
    <row r="111" spans="2:15" ht="14" customHeight="1">
      <c r="B111" s="313" t="s">
        <v>1094</v>
      </c>
      <c r="C111" s="368">
        <v>-820</v>
      </c>
      <c r="D111" s="368">
        <v>-820</v>
      </c>
      <c r="E111" s="368">
        <v>-820</v>
      </c>
      <c r="F111" s="368">
        <v>-820</v>
      </c>
      <c r="G111" s="368">
        <v>-820</v>
      </c>
      <c r="H111" s="368">
        <v>-820</v>
      </c>
      <c r="I111" s="368">
        <v>-820</v>
      </c>
      <c r="J111" s="368">
        <v>-820</v>
      </c>
      <c r="K111" s="368">
        <v>-820</v>
      </c>
      <c r="L111" s="368">
        <v>-820</v>
      </c>
      <c r="M111" s="368">
        <v>-820</v>
      </c>
      <c r="N111" s="368">
        <v>-820</v>
      </c>
      <c r="O111" s="370">
        <v>-9840</v>
      </c>
    </row>
    <row r="112" spans="2:15" ht="14" customHeight="1">
      <c r="B112" s="313" t="s">
        <v>1092</v>
      </c>
      <c r="C112" s="368">
        <v>-130</v>
      </c>
      <c r="D112" s="369">
        <v>0</v>
      </c>
      <c r="E112" s="368">
        <v>-110</v>
      </c>
      <c r="F112" s="369">
        <v>0</v>
      </c>
      <c r="G112" s="368">
        <v>-115</v>
      </c>
      <c r="H112" s="368">
        <v>-50</v>
      </c>
      <c r="I112" s="369">
        <v>0</v>
      </c>
      <c r="J112" s="368">
        <v>-115</v>
      </c>
      <c r="K112" s="369">
        <v>0</v>
      </c>
      <c r="L112" s="368">
        <v>-105</v>
      </c>
      <c r="M112" s="369">
        <v>0</v>
      </c>
      <c r="N112" s="368">
        <v>-110</v>
      </c>
      <c r="O112" s="370">
        <v>-735</v>
      </c>
    </row>
    <row r="113" spans="2:15" ht="14" customHeight="1">
      <c r="B113" s="313" t="s">
        <v>1093</v>
      </c>
      <c r="C113" s="369">
        <v>0</v>
      </c>
      <c r="D113" s="368">
        <v>-65</v>
      </c>
      <c r="E113" s="369">
        <v>0</v>
      </c>
      <c r="F113" s="368">
        <v>-55</v>
      </c>
      <c r="G113" s="369">
        <v>0</v>
      </c>
      <c r="H113" s="368">
        <v>-35</v>
      </c>
      <c r="I113" s="369">
        <v>0</v>
      </c>
      <c r="J113" s="368">
        <v>-25</v>
      </c>
      <c r="K113" s="369">
        <v>0</v>
      </c>
      <c r="L113" s="368">
        <v>-25</v>
      </c>
      <c r="M113" s="369">
        <v>0</v>
      </c>
      <c r="N113" s="368">
        <v>-30</v>
      </c>
      <c r="O113" s="370">
        <v>-235</v>
      </c>
    </row>
    <row r="114" spans="2:15" ht="14" customHeight="1">
      <c r="B114" s="313" t="s">
        <v>1091</v>
      </c>
      <c r="C114" s="368">
        <v>-35</v>
      </c>
      <c r="D114" s="368">
        <v>-35</v>
      </c>
      <c r="E114" s="368">
        <v>-35</v>
      </c>
      <c r="F114" s="368">
        <v>-35</v>
      </c>
      <c r="G114" s="368">
        <v>-35</v>
      </c>
      <c r="H114" s="368">
        <v>-35</v>
      </c>
      <c r="I114" s="368">
        <v>-35</v>
      </c>
      <c r="J114" s="368">
        <v>-35</v>
      </c>
      <c r="K114" s="368">
        <v>-35</v>
      </c>
      <c r="L114" s="368">
        <v>-35</v>
      </c>
      <c r="M114" s="368">
        <v>-35</v>
      </c>
      <c r="N114" s="368">
        <v>-35</v>
      </c>
      <c r="O114" s="370">
        <v>-420</v>
      </c>
    </row>
    <row r="115" spans="2:15" ht="14" customHeight="1">
      <c r="B115" s="313" t="s">
        <v>1096</v>
      </c>
      <c r="C115" s="369">
        <v>0</v>
      </c>
      <c r="D115" s="369">
        <v>0</v>
      </c>
      <c r="E115" s="369">
        <v>0</v>
      </c>
      <c r="F115" s="368">
        <v>-360</v>
      </c>
      <c r="G115" s="369">
        <v>0</v>
      </c>
      <c r="H115" s="369">
        <v>0</v>
      </c>
      <c r="I115" s="369">
        <v>0</v>
      </c>
      <c r="J115" s="369">
        <v>0</v>
      </c>
      <c r="K115" s="368">
        <v>-25</v>
      </c>
      <c r="L115" s="368">
        <v>-500</v>
      </c>
      <c r="M115" s="369">
        <v>0</v>
      </c>
      <c r="N115" s="368">
        <v>-885</v>
      </c>
      <c r="O115" s="370">
        <v>-1770</v>
      </c>
    </row>
    <row r="116" spans="2:15" ht="14" customHeight="1">
      <c r="B116" s="313" t="s">
        <v>1099</v>
      </c>
      <c r="C116" s="368">
        <v>-25</v>
      </c>
      <c r="D116" s="368">
        <v>-25</v>
      </c>
      <c r="E116" s="368">
        <v>-95</v>
      </c>
      <c r="F116" s="368">
        <v>-105</v>
      </c>
      <c r="G116" s="368">
        <v>-430</v>
      </c>
      <c r="H116" s="368">
        <v>-125</v>
      </c>
      <c r="I116" s="368">
        <v>-105</v>
      </c>
      <c r="J116" s="368">
        <v>-675</v>
      </c>
      <c r="K116" s="368">
        <v>-690</v>
      </c>
      <c r="L116" s="368">
        <v>-45</v>
      </c>
      <c r="M116" s="368">
        <v>-170</v>
      </c>
      <c r="N116" s="368">
        <v>-290</v>
      </c>
      <c r="O116" s="370">
        <v>-2780</v>
      </c>
    </row>
    <row r="117" spans="2:15" ht="14" customHeight="1">
      <c r="B117" s="313" t="s">
        <v>1097</v>
      </c>
      <c r="C117" s="369">
        <v>0</v>
      </c>
      <c r="D117" s="369">
        <v>0</v>
      </c>
      <c r="E117" s="369">
        <v>0</v>
      </c>
      <c r="F117" s="369">
        <v>0</v>
      </c>
      <c r="G117" s="369">
        <v>0</v>
      </c>
      <c r="H117" s="368">
        <v>-30</v>
      </c>
      <c r="I117" s="368">
        <v>-20</v>
      </c>
      <c r="J117" s="368">
        <v>-15</v>
      </c>
      <c r="K117" s="369">
        <v>0</v>
      </c>
      <c r="L117" s="369">
        <v>0</v>
      </c>
      <c r="M117" s="369">
        <v>0</v>
      </c>
      <c r="N117" s="369">
        <v>0</v>
      </c>
      <c r="O117" s="370">
        <v>-65</v>
      </c>
    </row>
    <row r="118" spans="2:15" ht="14" customHeight="1">
      <c r="B118" s="313" t="s">
        <v>1098</v>
      </c>
      <c r="C118" s="369">
        <v>0</v>
      </c>
      <c r="D118" s="368">
        <v>-15</v>
      </c>
      <c r="E118" s="369">
        <v>0</v>
      </c>
      <c r="F118" s="369">
        <v>0</v>
      </c>
      <c r="G118" s="369">
        <v>0</v>
      </c>
      <c r="H118" s="369">
        <v>0</v>
      </c>
      <c r="I118" s="368">
        <v>-90</v>
      </c>
      <c r="J118" s="369">
        <v>0</v>
      </c>
      <c r="K118" s="369">
        <v>0</v>
      </c>
      <c r="L118" s="369">
        <v>0</v>
      </c>
      <c r="M118" s="368">
        <v>-30</v>
      </c>
      <c r="N118" s="369">
        <v>0</v>
      </c>
      <c r="O118" s="370">
        <v>-135</v>
      </c>
    </row>
    <row r="119" spans="2:15" ht="14" customHeight="1">
      <c r="B119" s="313" t="s">
        <v>1117</v>
      </c>
      <c r="C119" s="369">
        <v>0</v>
      </c>
      <c r="D119" s="369">
        <v>0</v>
      </c>
      <c r="E119" s="369">
        <v>0</v>
      </c>
      <c r="F119" s="369">
        <v>0</v>
      </c>
      <c r="G119" s="369">
        <v>0</v>
      </c>
      <c r="H119" s="369">
        <v>0</v>
      </c>
      <c r="I119" s="369">
        <v>0</v>
      </c>
      <c r="J119" s="369">
        <v>0</v>
      </c>
      <c r="K119" s="369">
        <v>0</v>
      </c>
      <c r="L119" s="368">
        <v>-70</v>
      </c>
      <c r="M119" s="369">
        <v>0</v>
      </c>
      <c r="N119" s="369">
        <v>0</v>
      </c>
      <c r="O119" s="370">
        <v>-70</v>
      </c>
    </row>
    <row r="120" spans="2:15" ht="14" customHeight="1">
      <c r="B120" s="313" t="s">
        <v>1114</v>
      </c>
      <c r="C120" s="369">
        <v>0</v>
      </c>
      <c r="D120" s="369">
        <v>0</v>
      </c>
      <c r="E120" s="369">
        <v>0</v>
      </c>
      <c r="F120" s="369">
        <v>0</v>
      </c>
      <c r="G120" s="369">
        <v>0</v>
      </c>
      <c r="H120" s="368">
        <v>-75</v>
      </c>
      <c r="I120" s="369">
        <v>0</v>
      </c>
      <c r="J120" s="369">
        <v>0</v>
      </c>
      <c r="K120" s="369">
        <v>0</v>
      </c>
      <c r="L120" s="369">
        <v>0</v>
      </c>
      <c r="M120" s="369">
        <v>0</v>
      </c>
      <c r="N120" s="369">
        <v>0</v>
      </c>
      <c r="O120" s="370">
        <v>-75</v>
      </c>
    </row>
    <row r="121" spans="2:15" ht="14" customHeight="1">
      <c r="B121" s="313" t="s">
        <v>1118</v>
      </c>
      <c r="C121" s="369">
        <v>0</v>
      </c>
      <c r="D121" s="369">
        <v>0</v>
      </c>
      <c r="E121" s="369">
        <v>0</v>
      </c>
      <c r="F121" s="369">
        <v>0</v>
      </c>
      <c r="G121" s="369">
        <v>0</v>
      </c>
      <c r="H121" s="369">
        <v>0</v>
      </c>
      <c r="I121" s="369">
        <v>0</v>
      </c>
      <c r="J121" s="369">
        <v>0</v>
      </c>
      <c r="K121" s="369">
        <v>0</v>
      </c>
      <c r="L121" s="368">
        <v>-65</v>
      </c>
      <c r="M121" s="369">
        <v>0</v>
      </c>
      <c r="N121" s="369">
        <v>0</v>
      </c>
      <c r="O121" s="370">
        <v>-65</v>
      </c>
    </row>
    <row r="122" spans="2:15" ht="14" customHeight="1">
      <c r="B122" s="313" t="s">
        <v>1100</v>
      </c>
      <c r="C122" s="371">
        <v>6820</v>
      </c>
      <c r="D122" s="371">
        <v>1980</v>
      </c>
      <c r="E122" s="371">
        <v>1980</v>
      </c>
      <c r="F122" s="371">
        <v>4150</v>
      </c>
      <c r="G122" s="371">
        <v>1925</v>
      </c>
      <c r="H122" s="371">
        <v>1925</v>
      </c>
      <c r="I122" s="371">
        <v>4340</v>
      </c>
      <c r="J122" s="371">
        <v>2865</v>
      </c>
      <c r="K122" s="371">
        <v>1920</v>
      </c>
      <c r="L122" s="371">
        <v>4110</v>
      </c>
      <c r="M122" s="371">
        <v>1900</v>
      </c>
      <c r="N122" s="371">
        <v>1900</v>
      </c>
      <c r="O122" s="370">
        <v>35815</v>
      </c>
    </row>
    <row r="123" spans="2:15" ht="14" customHeight="1">
      <c r="B123" s="313" t="s">
        <v>121</v>
      </c>
      <c r="C123" s="368">
        <v>-75</v>
      </c>
      <c r="D123" s="368">
        <v>-25</v>
      </c>
      <c r="E123" s="368">
        <v>-55</v>
      </c>
      <c r="F123" s="368">
        <v>-75</v>
      </c>
      <c r="G123" s="368">
        <v>-50</v>
      </c>
      <c r="H123" s="368">
        <v>-50</v>
      </c>
      <c r="I123" s="368">
        <v>-75</v>
      </c>
      <c r="J123" s="369">
        <v>0</v>
      </c>
      <c r="K123" s="368">
        <v>-50</v>
      </c>
      <c r="L123" s="368">
        <v>-25</v>
      </c>
      <c r="M123" s="368">
        <v>-80</v>
      </c>
      <c r="N123" s="368">
        <v>-40</v>
      </c>
      <c r="O123" s="370">
        <v>-600</v>
      </c>
    </row>
    <row r="124" spans="2:15" ht="14" customHeight="1">
      <c r="B124" s="313" t="s">
        <v>123</v>
      </c>
      <c r="C124" s="369">
        <v>0</v>
      </c>
      <c r="D124" s="369">
        <v>0</v>
      </c>
      <c r="E124" s="369">
        <v>0</v>
      </c>
      <c r="F124" s="369">
        <v>0</v>
      </c>
      <c r="G124" s="369">
        <v>0</v>
      </c>
      <c r="H124" s="369">
        <v>0</v>
      </c>
      <c r="I124" s="369">
        <v>0</v>
      </c>
      <c r="J124" s="369">
        <v>0</v>
      </c>
      <c r="K124" s="368">
        <v>-65</v>
      </c>
      <c r="L124" s="369">
        <v>0</v>
      </c>
      <c r="M124" s="368">
        <v>-70</v>
      </c>
      <c r="N124" s="369">
        <v>0</v>
      </c>
      <c r="O124" s="370">
        <v>-135</v>
      </c>
    </row>
    <row r="125" spans="2:15" ht="14" customHeight="1">
      <c r="B125" s="313" t="s">
        <v>1102</v>
      </c>
      <c r="C125" s="369">
        <v>0</v>
      </c>
      <c r="D125" s="369">
        <v>0</v>
      </c>
      <c r="E125" s="369">
        <v>0</v>
      </c>
      <c r="F125" s="368">
        <v>-90</v>
      </c>
      <c r="G125" s="368">
        <v>-25</v>
      </c>
      <c r="H125" s="368">
        <v>-115</v>
      </c>
      <c r="I125" s="368">
        <v>-30</v>
      </c>
      <c r="J125" s="368">
        <v>-30</v>
      </c>
      <c r="K125" s="368">
        <v>-85</v>
      </c>
      <c r="L125" s="368">
        <v>-200</v>
      </c>
      <c r="M125" s="368">
        <v>-110</v>
      </c>
      <c r="N125" s="368">
        <v>-90</v>
      </c>
      <c r="O125" s="370">
        <v>-775</v>
      </c>
    </row>
    <row r="126" spans="2:15" ht="14" customHeight="1">
      <c r="B126" s="313" t="s">
        <v>1103</v>
      </c>
      <c r="C126" s="369">
        <v>0</v>
      </c>
      <c r="D126" s="369">
        <v>0</v>
      </c>
      <c r="E126" s="369">
        <v>0</v>
      </c>
      <c r="F126" s="369">
        <v>0</v>
      </c>
      <c r="G126" s="369">
        <v>0</v>
      </c>
      <c r="H126" s="369">
        <v>0</v>
      </c>
      <c r="I126" s="369">
        <v>0</v>
      </c>
      <c r="J126" s="369">
        <v>0</v>
      </c>
      <c r="K126" s="369">
        <v>0</v>
      </c>
      <c r="L126" s="369">
        <v>0</v>
      </c>
      <c r="M126" s="368">
        <v>-130</v>
      </c>
      <c r="N126" s="368">
        <v>-80</v>
      </c>
      <c r="O126" s="370">
        <v>-210</v>
      </c>
    </row>
    <row r="127" spans="2:15" ht="14" customHeight="1">
      <c r="B127" s="313" t="s">
        <v>1101</v>
      </c>
      <c r="C127" s="368">
        <v>-50</v>
      </c>
      <c r="D127" s="369">
        <v>0</v>
      </c>
      <c r="E127" s="369">
        <v>0</v>
      </c>
      <c r="F127" s="368">
        <v>-50</v>
      </c>
      <c r="G127" s="369">
        <v>0</v>
      </c>
      <c r="H127" s="369">
        <v>0</v>
      </c>
      <c r="I127" s="368">
        <v>-50</v>
      </c>
      <c r="J127" s="369">
        <v>0</v>
      </c>
      <c r="K127" s="369">
        <v>0</v>
      </c>
      <c r="L127" s="369">
        <v>0</v>
      </c>
      <c r="M127" s="369">
        <v>0</v>
      </c>
      <c r="N127" s="369">
        <v>0</v>
      </c>
      <c r="O127" s="370">
        <v>-150</v>
      </c>
    </row>
    <row r="128" spans="2:15" ht="14" customHeight="1">
      <c r="B128" s="313" t="s">
        <v>127</v>
      </c>
      <c r="C128" s="368">
        <v>-20</v>
      </c>
      <c r="D128" s="369">
        <v>0</v>
      </c>
      <c r="E128" s="368">
        <v>-15</v>
      </c>
      <c r="F128" s="368">
        <v>-75</v>
      </c>
      <c r="G128" s="368">
        <v>-40</v>
      </c>
      <c r="H128" s="368">
        <v>-45</v>
      </c>
      <c r="I128" s="369">
        <v>0</v>
      </c>
      <c r="J128" s="369">
        <v>0</v>
      </c>
      <c r="K128" s="369">
        <v>0</v>
      </c>
      <c r="L128" s="368">
        <v>-45</v>
      </c>
      <c r="M128" s="369">
        <v>0</v>
      </c>
      <c r="N128" s="368">
        <v>-205</v>
      </c>
      <c r="O128" s="370">
        <v>-445</v>
      </c>
    </row>
    <row r="129" spans="2:16" ht="14" customHeight="1">
      <c r="B129" s="313" t="s">
        <v>1105</v>
      </c>
      <c r="C129" s="368">
        <v>-5</v>
      </c>
      <c r="D129" s="369">
        <v>0</v>
      </c>
      <c r="E129" s="369">
        <v>0</v>
      </c>
      <c r="F129" s="369">
        <v>0</v>
      </c>
      <c r="G129" s="368">
        <v>-40</v>
      </c>
      <c r="H129" s="368">
        <v>-10</v>
      </c>
      <c r="I129" s="368">
        <v>-75</v>
      </c>
      <c r="J129" s="369">
        <v>0</v>
      </c>
      <c r="K129" s="369">
        <v>0</v>
      </c>
      <c r="L129" s="368">
        <v>-40</v>
      </c>
      <c r="M129" s="369">
        <v>0</v>
      </c>
      <c r="N129" s="369">
        <v>0</v>
      </c>
      <c r="O129" s="370">
        <v>-170</v>
      </c>
    </row>
    <row r="130" spans="2:16" ht="14" customHeight="1">
      <c r="B130" s="313" t="s">
        <v>1110</v>
      </c>
      <c r="C130" s="368">
        <v>-15</v>
      </c>
      <c r="D130" s="368">
        <v>-15</v>
      </c>
      <c r="E130" s="368">
        <v>-15</v>
      </c>
      <c r="F130" s="368">
        <v>-15</v>
      </c>
      <c r="G130" s="368">
        <v>-15</v>
      </c>
      <c r="H130" s="368">
        <v>-15</v>
      </c>
      <c r="I130" s="368">
        <v>-15</v>
      </c>
      <c r="J130" s="368">
        <v>-15</v>
      </c>
      <c r="K130" s="368">
        <v>-15</v>
      </c>
      <c r="L130" s="368">
        <v>-15</v>
      </c>
      <c r="M130" s="368">
        <v>-15</v>
      </c>
      <c r="N130" s="368">
        <v>-15</v>
      </c>
      <c r="O130" s="370">
        <v>-180</v>
      </c>
    </row>
    <row r="131" spans="2:16" ht="14" customHeight="1">
      <c r="B131" s="313" t="s">
        <v>1109</v>
      </c>
      <c r="C131" s="368">
        <v>-175</v>
      </c>
      <c r="D131" s="369">
        <v>0</v>
      </c>
      <c r="E131" s="369">
        <v>0</v>
      </c>
      <c r="F131" s="369">
        <v>0</v>
      </c>
      <c r="G131" s="369">
        <v>0</v>
      </c>
      <c r="H131" s="369">
        <v>0</v>
      </c>
      <c r="I131" s="369">
        <v>0</v>
      </c>
      <c r="J131" s="369">
        <v>0</v>
      </c>
      <c r="K131" s="369">
        <v>0</v>
      </c>
      <c r="L131" s="369">
        <v>0</v>
      </c>
      <c r="M131" s="369">
        <v>0</v>
      </c>
      <c r="N131" s="369">
        <v>0</v>
      </c>
      <c r="O131" s="370">
        <v>-175</v>
      </c>
    </row>
    <row r="132" spans="2:16" ht="14" customHeight="1">
      <c r="B132" s="313" t="s">
        <v>207</v>
      </c>
      <c r="C132" s="369">
        <v>0</v>
      </c>
      <c r="D132" s="369">
        <v>0</v>
      </c>
      <c r="E132" s="368">
        <v>-105</v>
      </c>
      <c r="F132" s="369">
        <v>0</v>
      </c>
      <c r="G132" s="369">
        <v>0</v>
      </c>
      <c r="H132" s="369">
        <v>0</v>
      </c>
      <c r="I132" s="369">
        <v>0</v>
      </c>
      <c r="J132" s="368">
        <v>-180</v>
      </c>
      <c r="K132" s="372">
        <v>-1405</v>
      </c>
      <c r="L132" s="368">
        <v>-20</v>
      </c>
      <c r="M132" s="368">
        <v>-60</v>
      </c>
      <c r="N132" s="369">
        <v>0</v>
      </c>
      <c r="O132" s="370">
        <v>-1770</v>
      </c>
    </row>
    <row r="133" spans="2:16" ht="14" customHeight="1">
      <c r="B133" s="313" t="s">
        <v>1111</v>
      </c>
      <c r="C133" s="368">
        <v>-10</v>
      </c>
      <c r="D133" s="369">
        <v>0</v>
      </c>
      <c r="E133" s="369">
        <v>0</v>
      </c>
      <c r="F133" s="369">
        <v>0</v>
      </c>
      <c r="G133" s="369">
        <v>0</v>
      </c>
      <c r="H133" s="369">
        <v>0</v>
      </c>
      <c r="I133" s="369">
        <v>0</v>
      </c>
      <c r="J133" s="369">
        <v>0</v>
      </c>
      <c r="K133" s="369">
        <v>0</v>
      </c>
      <c r="L133" s="369">
        <v>0</v>
      </c>
      <c r="M133" s="369">
        <v>0</v>
      </c>
      <c r="N133" s="369">
        <v>0</v>
      </c>
      <c r="O133" s="370">
        <v>-10</v>
      </c>
    </row>
    <row r="134" spans="2:16" ht="14" customHeight="1">
      <c r="B134" s="313" t="s">
        <v>32</v>
      </c>
      <c r="C134" s="369">
        <v>0</v>
      </c>
      <c r="D134" s="369">
        <v>0</v>
      </c>
      <c r="E134" s="369">
        <v>0</v>
      </c>
      <c r="F134" s="369">
        <v>0</v>
      </c>
      <c r="G134" s="369">
        <v>0</v>
      </c>
      <c r="H134" s="369">
        <v>0</v>
      </c>
      <c r="I134" s="372">
        <v>-1870</v>
      </c>
      <c r="J134" s="368">
        <v>-915</v>
      </c>
      <c r="K134" s="369">
        <v>0</v>
      </c>
      <c r="L134" s="369">
        <v>0</v>
      </c>
      <c r="M134" s="369">
        <v>0</v>
      </c>
      <c r="N134" s="369">
        <v>0</v>
      </c>
      <c r="O134" s="370">
        <v>-2785</v>
      </c>
    </row>
    <row r="135" spans="2:16" ht="14" customHeight="1">
      <c r="B135" s="313" t="s">
        <v>9</v>
      </c>
      <c r="C135" s="368">
        <v>-15</v>
      </c>
      <c r="D135" s="368">
        <v>-15</v>
      </c>
      <c r="E135" s="368">
        <v>-15</v>
      </c>
      <c r="F135" s="368">
        <v>-15</v>
      </c>
      <c r="G135" s="368">
        <v>-15</v>
      </c>
      <c r="H135" s="368">
        <v>-15</v>
      </c>
      <c r="I135" s="368">
        <v>-15</v>
      </c>
      <c r="J135" s="368">
        <v>-15</v>
      </c>
      <c r="K135" s="368">
        <v>-25</v>
      </c>
      <c r="L135" s="368">
        <v>-25</v>
      </c>
      <c r="M135" s="368">
        <v>-25</v>
      </c>
      <c r="N135" s="368">
        <v>-25</v>
      </c>
      <c r="O135" s="370">
        <v>-220</v>
      </c>
    </row>
    <row r="136" spans="2:16" ht="14" customHeight="1">
      <c r="B136" s="313" t="s">
        <v>1112</v>
      </c>
      <c r="C136" s="370">
        <v>6820</v>
      </c>
      <c r="D136" s="370">
        <v>1980</v>
      </c>
      <c r="E136" s="370">
        <v>1980</v>
      </c>
      <c r="F136" s="370">
        <v>4150</v>
      </c>
      <c r="G136" s="370">
        <v>1925</v>
      </c>
      <c r="H136" s="370">
        <v>1925</v>
      </c>
      <c r="I136" s="370">
        <v>4340</v>
      </c>
      <c r="J136" s="370">
        <v>2865</v>
      </c>
      <c r="K136" s="370">
        <v>1920</v>
      </c>
      <c r="L136" s="370">
        <v>4110</v>
      </c>
      <c r="M136" s="370">
        <v>1900</v>
      </c>
      <c r="N136" s="370">
        <v>1900</v>
      </c>
      <c r="O136" s="370">
        <v>35815</v>
      </c>
    </row>
    <row r="137" spans="2:16" ht="14" customHeight="1">
      <c r="B137" s="313" t="s">
        <v>67</v>
      </c>
      <c r="C137" s="370">
        <v>-2095</v>
      </c>
      <c r="D137" s="370">
        <v>-1665</v>
      </c>
      <c r="E137" s="370">
        <v>-1730</v>
      </c>
      <c r="F137" s="370">
        <v>-2690</v>
      </c>
      <c r="G137" s="370">
        <v>-1965</v>
      </c>
      <c r="H137" s="370">
        <v>-1955</v>
      </c>
      <c r="I137" s="370">
        <v>-3955</v>
      </c>
      <c r="J137" s="370">
        <v>-3010</v>
      </c>
      <c r="K137" s="370">
        <v>-3770</v>
      </c>
      <c r="L137" s="370">
        <v>-2800</v>
      </c>
      <c r="M137" s="370">
        <v>-2020</v>
      </c>
      <c r="N137" s="370">
        <v>-3370</v>
      </c>
      <c r="O137" s="370">
        <v>-31025</v>
      </c>
    </row>
    <row r="138" spans="2:16" ht="14" customHeight="1">
      <c r="B138" s="313" t="s">
        <v>93</v>
      </c>
      <c r="C138" s="370">
        <v>4725</v>
      </c>
      <c r="D138" s="370">
        <v>315</v>
      </c>
      <c r="E138" s="370">
        <v>250</v>
      </c>
      <c r="F138" s="370">
        <v>1460</v>
      </c>
      <c r="G138" s="370">
        <v>-40</v>
      </c>
      <c r="H138" s="370">
        <v>-30</v>
      </c>
      <c r="I138" s="370">
        <v>385</v>
      </c>
      <c r="J138" s="370">
        <v>-145</v>
      </c>
      <c r="K138" s="370">
        <v>-1850</v>
      </c>
      <c r="L138" s="370">
        <v>1310</v>
      </c>
      <c r="M138" s="370">
        <v>-120</v>
      </c>
      <c r="N138" s="370">
        <v>-1470</v>
      </c>
      <c r="O138" s="370">
        <v>4790</v>
      </c>
    </row>
    <row r="140" spans="2:16" ht="20" customHeight="1">
      <c r="B140" s="298">
        <v>2022</v>
      </c>
    </row>
    <row r="141" spans="2:16" ht="15" customHeight="1">
      <c r="B141" s="1029" t="s">
        <v>1116</v>
      </c>
      <c r="C141" s="299" t="s">
        <v>76</v>
      </c>
      <c r="D141" s="299" t="s">
        <v>285</v>
      </c>
      <c r="E141" s="299" t="s">
        <v>218</v>
      </c>
      <c r="F141" s="299" t="s">
        <v>286</v>
      </c>
      <c r="G141" s="299" t="s">
        <v>167</v>
      </c>
      <c r="H141" s="299" t="s">
        <v>287</v>
      </c>
      <c r="I141" s="299" t="s">
        <v>220</v>
      </c>
      <c r="J141" s="299" t="s">
        <v>288</v>
      </c>
      <c r="K141" s="299" t="s">
        <v>290</v>
      </c>
      <c r="L141" s="299" t="s">
        <v>221</v>
      </c>
      <c r="M141" s="299" t="s">
        <v>291</v>
      </c>
      <c r="N141" s="299" t="s">
        <v>222</v>
      </c>
      <c r="O141" s="1028" t="s">
        <v>1079</v>
      </c>
      <c r="P141" s="346"/>
    </row>
    <row r="142" spans="2:16">
      <c r="B142" s="1016"/>
      <c r="C142" s="410">
        <v>2022</v>
      </c>
      <c r="D142" s="410">
        <v>2022</v>
      </c>
      <c r="E142" s="410">
        <v>2022</v>
      </c>
      <c r="F142" s="410">
        <v>2022</v>
      </c>
      <c r="G142" s="410">
        <v>2022</v>
      </c>
      <c r="H142" s="410">
        <v>2022</v>
      </c>
      <c r="I142" s="410">
        <v>2022</v>
      </c>
      <c r="J142" s="410">
        <v>2022</v>
      </c>
      <c r="K142" s="410">
        <v>2022</v>
      </c>
      <c r="L142" s="410">
        <v>2022</v>
      </c>
      <c r="M142" s="410">
        <v>2022</v>
      </c>
      <c r="N142" s="410">
        <v>2022</v>
      </c>
      <c r="O142" s="1016"/>
      <c r="P142" s="346"/>
    </row>
    <row r="143" spans="2:16" ht="14" customHeight="1">
      <c r="B143" s="313" t="s">
        <v>1081</v>
      </c>
      <c r="C143" s="369">
        <v>0</v>
      </c>
      <c r="D143" s="369">
        <v>0</v>
      </c>
      <c r="E143" s="368">
        <v>-30</v>
      </c>
      <c r="F143" s="369">
        <v>0</v>
      </c>
      <c r="G143" s="368">
        <v>-30</v>
      </c>
      <c r="H143" s="369">
        <v>0</v>
      </c>
      <c r="I143" s="368">
        <v>-30</v>
      </c>
      <c r="J143" s="369">
        <v>0</v>
      </c>
      <c r="K143" s="368">
        <v>-30</v>
      </c>
      <c r="L143" s="368">
        <v>-30</v>
      </c>
      <c r="M143" s="369">
        <v>0</v>
      </c>
      <c r="N143" s="368">
        <v>-25</v>
      </c>
      <c r="O143" s="456">
        <v>-175</v>
      </c>
      <c r="P143" s="346"/>
    </row>
    <row r="144" spans="2:16" ht="14" customHeight="1">
      <c r="B144" s="313" t="s">
        <v>1084</v>
      </c>
      <c r="C144" s="368">
        <v>-300</v>
      </c>
      <c r="D144" s="368">
        <v>-100</v>
      </c>
      <c r="E144" s="369">
        <v>0</v>
      </c>
      <c r="F144" s="369">
        <v>0</v>
      </c>
      <c r="G144" s="369">
        <v>0</v>
      </c>
      <c r="H144" s="369">
        <v>0</v>
      </c>
      <c r="I144" s="369">
        <v>0</v>
      </c>
      <c r="J144" s="369">
        <v>0</v>
      </c>
      <c r="K144" s="369">
        <v>0</v>
      </c>
      <c r="L144" s="369">
        <v>0</v>
      </c>
      <c r="M144" s="369">
        <v>0</v>
      </c>
      <c r="N144" s="369">
        <v>0</v>
      </c>
      <c r="O144" s="456">
        <v>-400</v>
      </c>
      <c r="P144" s="346"/>
    </row>
    <row r="145" spans="2:16" ht="14" customHeight="1">
      <c r="B145" s="313" t="s">
        <v>1083</v>
      </c>
      <c r="C145" s="369">
        <v>0</v>
      </c>
      <c r="D145" s="369">
        <v>0</v>
      </c>
      <c r="E145" s="369">
        <v>0</v>
      </c>
      <c r="F145" s="369">
        <v>0</v>
      </c>
      <c r="G145" s="368">
        <v>-70</v>
      </c>
      <c r="H145" s="369">
        <v>0</v>
      </c>
      <c r="I145" s="369">
        <v>0</v>
      </c>
      <c r="J145" s="369">
        <v>0</v>
      </c>
      <c r="K145" s="369">
        <v>0</v>
      </c>
      <c r="L145" s="369">
        <v>0</v>
      </c>
      <c r="M145" s="369">
        <v>0</v>
      </c>
      <c r="N145" s="369">
        <v>0</v>
      </c>
      <c r="O145" s="456">
        <v>-70</v>
      </c>
      <c r="P145" s="346"/>
    </row>
    <row r="146" spans="2:16" ht="14" customHeight="1">
      <c r="B146" s="313" t="s">
        <v>1080</v>
      </c>
      <c r="C146" s="369">
        <v>0</v>
      </c>
      <c r="D146" s="368">
        <v>-30</v>
      </c>
      <c r="E146" s="369">
        <v>0</v>
      </c>
      <c r="F146" s="369">
        <v>0</v>
      </c>
      <c r="G146" s="369">
        <v>0</v>
      </c>
      <c r="H146" s="369">
        <v>0</v>
      </c>
      <c r="I146" s="369">
        <v>0</v>
      </c>
      <c r="J146" s="369">
        <v>0</v>
      </c>
      <c r="K146" s="369">
        <v>0</v>
      </c>
      <c r="L146" s="369">
        <v>0</v>
      </c>
      <c r="M146" s="369">
        <v>0</v>
      </c>
      <c r="N146" s="369">
        <v>0</v>
      </c>
      <c r="O146" s="456">
        <v>-30</v>
      </c>
      <c r="P146" s="346"/>
    </row>
    <row r="147" spans="2:16" ht="14" customHeight="1">
      <c r="B147" s="313" t="s">
        <v>1082</v>
      </c>
      <c r="C147" s="369">
        <v>0</v>
      </c>
      <c r="D147" s="369">
        <v>0</v>
      </c>
      <c r="E147" s="368">
        <v>-30</v>
      </c>
      <c r="F147" s="369">
        <v>0</v>
      </c>
      <c r="G147" s="368">
        <v>-10</v>
      </c>
      <c r="H147" s="369">
        <v>0</v>
      </c>
      <c r="I147" s="369">
        <v>0</v>
      </c>
      <c r="J147" s="369">
        <v>0</v>
      </c>
      <c r="K147" s="369">
        <v>0</v>
      </c>
      <c r="L147" s="368">
        <v>-5</v>
      </c>
      <c r="M147" s="369">
        <v>0</v>
      </c>
      <c r="N147" s="369">
        <v>0</v>
      </c>
      <c r="O147" s="456">
        <v>-45</v>
      </c>
      <c r="P147" s="346"/>
    </row>
    <row r="148" spans="2:16" ht="14" customHeight="1">
      <c r="B148" s="313" t="s">
        <v>1085</v>
      </c>
      <c r="C148" s="368">
        <v>-240</v>
      </c>
      <c r="D148" s="368">
        <v>-255</v>
      </c>
      <c r="E148" s="368">
        <v>-400</v>
      </c>
      <c r="F148" s="368">
        <v>-350</v>
      </c>
      <c r="G148" s="368">
        <v>-350</v>
      </c>
      <c r="H148" s="368">
        <v>-420</v>
      </c>
      <c r="I148" s="368">
        <v>-300</v>
      </c>
      <c r="J148" s="368">
        <v>-195</v>
      </c>
      <c r="K148" s="368">
        <v>-190</v>
      </c>
      <c r="L148" s="368">
        <v>-400</v>
      </c>
      <c r="M148" s="368">
        <v>-265</v>
      </c>
      <c r="N148" s="368">
        <v>-475</v>
      </c>
      <c r="O148" s="457">
        <v>-3840</v>
      </c>
      <c r="P148" s="346"/>
    </row>
    <row r="149" spans="2:16" ht="14" customHeight="1">
      <c r="B149" s="313" t="s">
        <v>1087</v>
      </c>
      <c r="C149" s="368">
        <v>-65</v>
      </c>
      <c r="D149" s="369">
        <v>0</v>
      </c>
      <c r="E149" s="369">
        <v>0</v>
      </c>
      <c r="F149" s="368">
        <v>-65</v>
      </c>
      <c r="G149" s="369">
        <v>0</v>
      </c>
      <c r="H149" s="369">
        <v>0</v>
      </c>
      <c r="I149" s="368">
        <v>-65</v>
      </c>
      <c r="J149" s="369">
        <v>0</v>
      </c>
      <c r="K149" s="369">
        <v>0</v>
      </c>
      <c r="L149" s="368">
        <v>-65</v>
      </c>
      <c r="M149" s="369">
        <v>0</v>
      </c>
      <c r="N149" s="369">
        <v>0</v>
      </c>
      <c r="O149" s="456">
        <v>-260</v>
      </c>
      <c r="P149" s="346"/>
    </row>
    <row r="150" spans="2:16" ht="14" customHeight="1">
      <c r="B150" s="313" t="s">
        <v>1086</v>
      </c>
      <c r="C150" s="369">
        <v>0</v>
      </c>
      <c r="D150" s="369">
        <v>0</v>
      </c>
      <c r="E150" s="369">
        <v>0</v>
      </c>
      <c r="F150" s="369">
        <v>0</v>
      </c>
      <c r="G150" s="369">
        <v>0</v>
      </c>
      <c r="H150" s="369">
        <v>0</v>
      </c>
      <c r="I150" s="368">
        <v>-25</v>
      </c>
      <c r="J150" s="369">
        <v>0</v>
      </c>
      <c r="K150" s="369">
        <v>0</v>
      </c>
      <c r="L150" s="369">
        <v>0</v>
      </c>
      <c r="M150" s="369">
        <v>0</v>
      </c>
      <c r="N150" s="369">
        <v>0</v>
      </c>
      <c r="O150" s="456">
        <v>-25</v>
      </c>
      <c r="P150" s="346"/>
    </row>
    <row r="151" spans="2:16" ht="14" customHeight="1">
      <c r="B151" s="313" t="s">
        <v>1089</v>
      </c>
      <c r="C151" s="369">
        <v>0</v>
      </c>
      <c r="D151" s="369">
        <v>0</v>
      </c>
      <c r="E151" s="369">
        <v>0</v>
      </c>
      <c r="F151" s="369">
        <v>0</v>
      </c>
      <c r="G151" s="369">
        <v>0</v>
      </c>
      <c r="H151" s="369">
        <v>0</v>
      </c>
      <c r="I151" s="369">
        <v>0</v>
      </c>
      <c r="J151" s="369">
        <v>0</v>
      </c>
      <c r="K151" s="369">
        <v>0</v>
      </c>
      <c r="L151" s="369">
        <v>0</v>
      </c>
      <c r="M151" s="368">
        <v>-5</v>
      </c>
      <c r="N151" s="369">
        <v>0</v>
      </c>
      <c r="O151" s="456">
        <v>-5</v>
      </c>
      <c r="P151" s="346"/>
    </row>
    <row r="152" spans="2:16" ht="14" customHeight="1">
      <c r="B152" s="313" t="s">
        <v>1095</v>
      </c>
      <c r="C152" s="369">
        <v>0</v>
      </c>
      <c r="D152" s="368">
        <v>-60</v>
      </c>
      <c r="E152" s="369">
        <v>0</v>
      </c>
      <c r="F152" s="368">
        <v>-60</v>
      </c>
      <c r="G152" s="369">
        <v>0</v>
      </c>
      <c r="H152" s="368">
        <v>-55</v>
      </c>
      <c r="I152" s="369">
        <v>0</v>
      </c>
      <c r="J152" s="368">
        <v>-55</v>
      </c>
      <c r="K152" s="369">
        <v>0</v>
      </c>
      <c r="L152" s="368">
        <v>-55</v>
      </c>
      <c r="M152" s="369">
        <v>0</v>
      </c>
      <c r="N152" s="368">
        <v>-55</v>
      </c>
      <c r="O152" s="456">
        <v>-340</v>
      </c>
      <c r="P152" s="346"/>
    </row>
    <row r="153" spans="2:16" ht="14" customHeight="1">
      <c r="B153" s="313" t="s">
        <v>1094</v>
      </c>
      <c r="C153" s="368">
        <v>-820</v>
      </c>
      <c r="D153" s="368">
        <v>-820</v>
      </c>
      <c r="E153" s="368">
        <v>-820</v>
      </c>
      <c r="F153" s="368">
        <v>-820</v>
      </c>
      <c r="G153" s="368">
        <v>-820</v>
      </c>
      <c r="H153" s="368">
        <v>-820</v>
      </c>
      <c r="I153" s="368">
        <v>-820</v>
      </c>
      <c r="J153" s="368">
        <v>-820</v>
      </c>
      <c r="K153" s="368">
        <v>-820</v>
      </c>
      <c r="L153" s="368">
        <v>-820</v>
      </c>
      <c r="M153" s="368">
        <v>-870</v>
      </c>
      <c r="N153" s="368">
        <v>-870</v>
      </c>
      <c r="O153" s="457">
        <v>-9940</v>
      </c>
      <c r="P153" s="346"/>
    </row>
    <row r="154" spans="2:16" ht="14" customHeight="1">
      <c r="B154" s="313" t="s">
        <v>1092</v>
      </c>
      <c r="C154" s="369">
        <v>0</v>
      </c>
      <c r="D154" s="368">
        <v>-105</v>
      </c>
      <c r="E154" s="369">
        <v>0</v>
      </c>
      <c r="F154" s="368">
        <v>-105</v>
      </c>
      <c r="G154" s="369">
        <v>0</v>
      </c>
      <c r="H154" s="368">
        <v>-110</v>
      </c>
      <c r="I154" s="369">
        <v>0</v>
      </c>
      <c r="J154" s="368">
        <v>-115</v>
      </c>
      <c r="K154" s="369">
        <v>0</v>
      </c>
      <c r="L154" s="368">
        <v>-115</v>
      </c>
      <c r="M154" s="369">
        <v>0</v>
      </c>
      <c r="N154" s="368">
        <v>-115</v>
      </c>
      <c r="O154" s="456">
        <v>-665</v>
      </c>
      <c r="P154" s="346"/>
    </row>
    <row r="155" spans="2:16" ht="14" customHeight="1">
      <c r="B155" s="313" t="s">
        <v>1093</v>
      </c>
      <c r="C155" s="369">
        <v>0</v>
      </c>
      <c r="D155" s="368">
        <v>-50</v>
      </c>
      <c r="E155" s="369">
        <v>0</v>
      </c>
      <c r="F155" s="368">
        <v>-50</v>
      </c>
      <c r="G155" s="369">
        <v>0</v>
      </c>
      <c r="H155" s="368">
        <v>-30</v>
      </c>
      <c r="I155" s="369">
        <v>0</v>
      </c>
      <c r="J155" s="368">
        <v>-20</v>
      </c>
      <c r="K155" s="369">
        <v>0</v>
      </c>
      <c r="L155" s="368">
        <v>-20</v>
      </c>
      <c r="M155" s="369">
        <v>0</v>
      </c>
      <c r="N155" s="368">
        <v>-20</v>
      </c>
      <c r="O155" s="456">
        <v>-190</v>
      </c>
      <c r="P155" s="346"/>
    </row>
    <row r="156" spans="2:16" ht="14" customHeight="1">
      <c r="B156" s="313" t="s">
        <v>1091</v>
      </c>
      <c r="C156" s="368">
        <v>-35</v>
      </c>
      <c r="D156" s="368">
        <v>-35</v>
      </c>
      <c r="E156" s="368">
        <v>-35</v>
      </c>
      <c r="F156" s="368">
        <v>-35</v>
      </c>
      <c r="G156" s="368">
        <v>-35</v>
      </c>
      <c r="H156" s="368">
        <v>-35</v>
      </c>
      <c r="I156" s="368">
        <v>-35</v>
      </c>
      <c r="J156" s="368">
        <v>-35</v>
      </c>
      <c r="K156" s="368">
        <v>-35</v>
      </c>
      <c r="L156" s="368">
        <v>-35</v>
      </c>
      <c r="M156" s="368">
        <v>-35</v>
      </c>
      <c r="N156" s="368">
        <v>-35</v>
      </c>
      <c r="O156" s="456">
        <v>-420</v>
      </c>
      <c r="P156" s="346"/>
    </row>
    <row r="157" spans="2:16" ht="14" customHeight="1">
      <c r="B157" s="313" t="s">
        <v>1096</v>
      </c>
      <c r="C157" s="369">
        <v>0</v>
      </c>
      <c r="D157" s="369">
        <v>0</v>
      </c>
      <c r="E157" s="369">
        <v>0</v>
      </c>
      <c r="F157" s="369">
        <v>0</v>
      </c>
      <c r="G157" s="369">
        <v>0</v>
      </c>
      <c r="H157" s="369">
        <v>0</v>
      </c>
      <c r="I157" s="369">
        <v>0</v>
      </c>
      <c r="J157" s="369">
        <v>0</v>
      </c>
      <c r="K157" s="369">
        <v>0</v>
      </c>
      <c r="L157" s="368">
        <v>-185</v>
      </c>
      <c r="M157" s="369">
        <v>0</v>
      </c>
      <c r="N157" s="369">
        <v>0</v>
      </c>
      <c r="O157" s="456">
        <v>-185</v>
      </c>
      <c r="P157" s="346"/>
    </row>
    <row r="158" spans="2:16" ht="14" customHeight="1">
      <c r="B158" s="313" t="s">
        <v>1099</v>
      </c>
      <c r="C158" s="368">
        <v>-80</v>
      </c>
      <c r="D158" s="368">
        <v>-35</v>
      </c>
      <c r="E158" s="368">
        <v>-365</v>
      </c>
      <c r="F158" s="368">
        <v>-250</v>
      </c>
      <c r="G158" s="368">
        <v>-625</v>
      </c>
      <c r="H158" s="368">
        <v>-115</v>
      </c>
      <c r="I158" s="368">
        <v>-525</v>
      </c>
      <c r="J158" s="368">
        <v>-525</v>
      </c>
      <c r="K158" s="368">
        <v>-95</v>
      </c>
      <c r="L158" s="368">
        <v>-60</v>
      </c>
      <c r="M158" s="368">
        <v>-70</v>
      </c>
      <c r="N158" s="368">
        <v>-100</v>
      </c>
      <c r="O158" s="457">
        <v>-2845</v>
      </c>
      <c r="P158" s="346"/>
    </row>
    <row r="159" spans="2:16" ht="14" customHeight="1">
      <c r="B159" s="313" t="s">
        <v>1097</v>
      </c>
      <c r="C159" s="369">
        <v>0</v>
      </c>
      <c r="D159" s="369">
        <v>0</v>
      </c>
      <c r="E159" s="369">
        <v>0</v>
      </c>
      <c r="F159" s="369">
        <v>0</v>
      </c>
      <c r="G159" s="368">
        <v>-100</v>
      </c>
      <c r="H159" s="369">
        <v>0</v>
      </c>
      <c r="I159" s="369">
        <v>0</v>
      </c>
      <c r="J159" s="369">
        <v>0</v>
      </c>
      <c r="K159" s="369">
        <v>0</v>
      </c>
      <c r="L159" s="368">
        <v>-60</v>
      </c>
      <c r="M159" s="369">
        <v>0</v>
      </c>
      <c r="N159" s="369">
        <v>0</v>
      </c>
      <c r="O159" s="456">
        <v>-160</v>
      </c>
      <c r="P159" s="346"/>
    </row>
    <row r="160" spans="2:16" ht="14" customHeight="1">
      <c r="B160" s="313" t="s">
        <v>1098</v>
      </c>
      <c r="C160" s="368">
        <v>-10</v>
      </c>
      <c r="D160" s="368">
        <v>-30</v>
      </c>
      <c r="E160" s="369">
        <v>0</v>
      </c>
      <c r="F160" s="369">
        <v>0</v>
      </c>
      <c r="G160" s="369">
        <v>0</v>
      </c>
      <c r="H160" s="369">
        <v>0</v>
      </c>
      <c r="I160" s="369">
        <v>0</v>
      </c>
      <c r="J160" s="369">
        <v>0</v>
      </c>
      <c r="K160" s="369">
        <v>0</v>
      </c>
      <c r="L160" s="369">
        <v>0</v>
      </c>
      <c r="M160" s="369">
        <v>0</v>
      </c>
      <c r="N160" s="369">
        <v>0</v>
      </c>
      <c r="O160" s="456">
        <v>-40</v>
      </c>
      <c r="P160" s="346"/>
    </row>
    <row r="161" spans="2:16" ht="14" customHeight="1">
      <c r="B161" s="313" t="s">
        <v>1114</v>
      </c>
      <c r="C161" s="369">
        <v>0</v>
      </c>
      <c r="D161" s="369">
        <v>0</v>
      </c>
      <c r="E161" s="369">
        <v>0</v>
      </c>
      <c r="F161" s="369">
        <v>0</v>
      </c>
      <c r="G161" s="369">
        <v>575</v>
      </c>
      <c r="H161" s="369">
        <v>0</v>
      </c>
      <c r="I161" s="369">
        <v>0</v>
      </c>
      <c r="J161" s="369">
        <v>0</v>
      </c>
      <c r="K161" s="369">
        <v>0</v>
      </c>
      <c r="L161" s="369">
        <v>0</v>
      </c>
      <c r="M161" s="369">
        <v>0</v>
      </c>
      <c r="N161" s="369">
        <v>0</v>
      </c>
      <c r="O161" s="458">
        <v>575</v>
      </c>
      <c r="P161" s="346"/>
    </row>
    <row r="162" spans="2:16" ht="14" customHeight="1">
      <c r="B162" s="313" t="s">
        <v>1100</v>
      </c>
      <c r="C162" s="371">
        <v>4085</v>
      </c>
      <c r="D162" s="371">
        <v>1885</v>
      </c>
      <c r="E162" s="371">
        <v>1890</v>
      </c>
      <c r="F162" s="371">
        <v>9225</v>
      </c>
      <c r="G162" s="371">
        <v>1825</v>
      </c>
      <c r="H162" s="371">
        <v>1845</v>
      </c>
      <c r="I162" s="371">
        <v>4025</v>
      </c>
      <c r="J162" s="371">
        <v>2525</v>
      </c>
      <c r="K162" s="371">
        <v>1880</v>
      </c>
      <c r="L162" s="371">
        <v>3980</v>
      </c>
      <c r="M162" s="371">
        <v>1800</v>
      </c>
      <c r="N162" s="371">
        <v>1790</v>
      </c>
      <c r="O162" s="459">
        <v>36755</v>
      </c>
      <c r="P162" s="346"/>
    </row>
    <row r="163" spans="2:16" ht="14" customHeight="1">
      <c r="B163" s="313" t="s">
        <v>121</v>
      </c>
      <c r="C163" s="368">
        <v>-50</v>
      </c>
      <c r="D163" s="368">
        <v>-50</v>
      </c>
      <c r="E163" s="368">
        <v>-50</v>
      </c>
      <c r="F163" s="368">
        <v>-60</v>
      </c>
      <c r="G163" s="368">
        <v>-50</v>
      </c>
      <c r="H163" s="368">
        <v>-50</v>
      </c>
      <c r="I163" s="368">
        <v>-75</v>
      </c>
      <c r="J163" s="368">
        <v>-50</v>
      </c>
      <c r="K163" s="368">
        <v>-70</v>
      </c>
      <c r="L163" s="368">
        <v>-60</v>
      </c>
      <c r="M163" s="368">
        <v>-120</v>
      </c>
      <c r="N163" s="368">
        <v>-115</v>
      </c>
      <c r="O163" s="456">
        <v>-800</v>
      </c>
      <c r="P163" s="346"/>
    </row>
    <row r="164" spans="2:16" ht="14" customHeight="1">
      <c r="B164" s="313" t="s">
        <v>123</v>
      </c>
      <c r="C164" s="369">
        <v>0</v>
      </c>
      <c r="D164" s="369">
        <v>0</v>
      </c>
      <c r="E164" s="369">
        <v>0</v>
      </c>
      <c r="F164" s="369">
        <v>0</v>
      </c>
      <c r="G164" s="369">
        <v>0</v>
      </c>
      <c r="H164" s="368">
        <v>-75</v>
      </c>
      <c r="I164" s="369">
        <v>0</v>
      </c>
      <c r="J164" s="369">
        <v>0</v>
      </c>
      <c r="K164" s="368">
        <v>-110</v>
      </c>
      <c r="L164" s="369">
        <v>0</v>
      </c>
      <c r="M164" s="369">
        <v>0</v>
      </c>
      <c r="N164" s="369">
        <v>0</v>
      </c>
      <c r="O164" s="456">
        <v>-185</v>
      </c>
      <c r="P164" s="346"/>
    </row>
    <row r="165" spans="2:16" ht="14" customHeight="1">
      <c r="B165" s="313" t="s">
        <v>1102</v>
      </c>
      <c r="C165" s="368">
        <v>-60</v>
      </c>
      <c r="D165" s="368">
        <v>-45</v>
      </c>
      <c r="E165" s="368">
        <v>-40</v>
      </c>
      <c r="F165" s="368">
        <v>-70</v>
      </c>
      <c r="G165" s="368">
        <v>-125</v>
      </c>
      <c r="H165" s="368">
        <v>-175</v>
      </c>
      <c r="I165" s="368">
        <v>-195</v>
      </c>
      <c r="J165" s="368">
        <v>-145</v>
      </c>
      <c r="K165" s="368">
        <v>-75</v>
      </c>
      <c r="L165" s="368">
        <v>-165</v>
      </c>
      <c r="M165" s="368">
        <v>-130</v>
      </c>
      <c r="N165" s="368">
        <v>-140</v>
      </c>
      <c r="O165" s="457">
        <v>-1365</v>
      </c>
      <c r="P165" s="346"/>
    </row>
    <row r="166" spans="2:16" ht="14" customHeight="1">
      <c r="B166" s="313" t="s">
        <v>1103</v>
      </c>
      <c r="C166" s="369">
        <v>0</v>
      </c>
      <c r="D166" s="369">
        <v>0</v>
      </c>
      <c r="E166" s="369">
        <v>0</v>
      </c>
      <c r="F166" s="368">
        <v>-70</v>
      </c>
      <c r="G166" s="369">
        <v>0</v>
      </c>
      <c r="H166" s="368">
        <v>-100</v>
      </c>
      <c r="I166" s="368">
        <v>-280</v>
      </c>
      <c r="J166" s="369">
        <v>0</v>
      </c>
      <c r="K166" s="368">
        <v>-105</v>
      </c>
      <c r="L166" s="369">
        <v>0</v>
      </c>
      <c r="M166" s="369">
        <v>0</v>
      </c>
      <c r="N166" s="368">
        <v>-70</v>
      </c>
      <c r="O166" s="456">
        <v>-625</v>
      </c>
      <c r="P166" s="346"/>
    </row>
    <row r="167" spans="2:16" ht="14" customHeight="1">
      <c r="B167" s="313" t="s">
        <v>1101</v>
      </c>
      <c r="C167" s="369">
        <v>0</v>
      </c>
      <c r="D167" s="369">
        <v>0</v>
      </c>
      <c r="E167" s="369">
        <v>0</v>
      </c>
      <c r="F167" s="368">
        <v>-50</v>
      </c>
      <c r="G167" s="369">
        <v>0</v>
      </c>
      <c r="H167" s="369">
        <v>0</v>
      </c>
      <c r="I167" s="369">
        <v>0</v>
      </c>
      <c r="J167" s="369">
        <v>0</v>
      </c>
      <c r="K167" s="368">
        <v>-50</v>
      </c>
      <c r="L167" s="369">
        <v>0</v>
      </c>
      <c r="M167" s="369">
        <v>0</v>
      </c>
      <c r="N167" s="369">
        <v>0</v>
      </c>
      <c r="O167" s="456">
        <v>-100</v>
      </c>
      <c r="P167" s="346"/>
    </row>
    <row r="168" spans="2:16" ht="14" customHeight="1">
      <c r="B168" s="313" t="s">
        <v>127</v>
      </c>
      <c r="C168" s="368">
        <v>-235</v>
      </c>
      <c r="D168" s="368">
        <v>-35</v>
      </c>
      <c r="E168" s="369">
        <v>0</v>
      </c>
      <c r="F168" s="368">
        <v>-130</v>
      </c>
      <c r="G168" s="368">
        <v>-155</v>
      </c>
      <c r="H168" s="368">
        <v>-40</v>
      </c>
      <c r="I168" s="369">
        <v>0</v>
      </c>
      <c r="J168" s="369">
        <v>0</v>
      </c>
      <c r="K168" s="369">
        <v>0</v>
      </c>
      <c r="L168" s="368">
        <v>-50</v>
      </c>
      <c r="M168" s="369">
        <v>0</v>
      </c>
      <c r="N168" s="368">
        <v>-50</v>
      </c>
      <c r="O168" s="456">
        <v>-695</v>
      </c>
      <c r="P168" s="346"/>
    </row>
    <row r="169" spans="2:16" ht="14" customHeight="1">
      <c r="B169" s="313" t="s">
        <v>1105</v>
      </c>
      <c r="C169" s="368">
        <v>-50</v>
      </c>
      <c r="D169" s="368">
        <v>-20</v>
      </c>
      <c r="E169" s="369">
        <v>0</v>
      </c>
      <c r="F169" s="369">
        <v>0</v>
      </c>
      <c r="G169" s="368">
        <v>-30</v>
      </c>
      <c r="H169" s="369">
        <v>0</v>
      </c>
      <c r="I169" s="369">
        <v>0</v>
      </c>
      <c r="J169" s="369">
        <v>0</v>
      </c>
      <c r="K169" s="369">
        <v>0</v>
      </c>
      <c r="L169" s="368">
        <v>-40</v>
      </c>
      <c r="M169" s="369">
        <v>0</v>
      </c>
      <c r="N169" s="368">
        <v>-10</v>
      </c>
      <c r="O169" s="456">
        <v>-150</v>
      </c>
      <c r="P169" s="346"/>
    </row>
    <row r="170" spans="2:16" ht="14" customHeight="1">
      <c r="B170" s="313" t="s">
        <v>1110</v>
      </c>
      <c r="C170" s="368">
        <v>-15</v>
      </c>
      <c r="D170" s="368">
        <v>-15</v>
      </c>
      <c r="E170" s="368">
        <v>-15</v>
      </c>
      <c r="F170" s="368">
        <v>-15</v>
      </c>
      <c r="G170" s="368">
        <v>-15</v>
      </c>
      <c r="H170" s="368">
        <v>-15</v>
      </c>
      <c r="I170" s="368">
        <v>-15</v>
      </c>
      <c r="J170" s="368">
        <v>-20</v>
      </c>
      <c r="K170" s="368">
        <v>-20</v>
      </c>
      <c r="L170" s="368">
        <v>-20</v>
      </c>
      <c r="M170" s="368">
        <v>-20</v>
      </c>
      <c r="N170" s="368">
        <v>-20</v>
      </c>
      <c r="O170" s="456">
        <v>-205</v>
      </c>
      <c r="P170" s="346"/>
    </row>
    <row r="171" spans="2:16" ht="14" customHeight="1">
      <c r="B171" s="313" t="s">
        <v>1109</v>
      </c>
      <c r="C171" s="368">
        <v>-180</v>
      </c>
      <c r="D171" s="369">
        <v>0</v>
      </c>
      <c r="E171" s="369">
        <v>0</v>
      </c>
      <c r="F171" s="369">
        <v>0</v>
      </c>
      <c r="G171" s="369">
        <v>0</v>
      </c>
      <c r="H171" s="369">
        <v>0</v>
      </c>
      <c r="I171" s="369">
        <v>0</v>
      </c>
      <c r="J171" s="369">
        <v>0</v>
      </c>
      <c r="K171" s="369">
        <v>0</v>
      </c>
      <c r="L171" s="369">
        <v>0</v>
      </c>
      <c r="M171" s="369">
        <v>0</v>
      </c>
      <c r="N171" s="369">
        <v>0</v>
      </c>
      <c r="O171" s="456">
        <v>-180</v>
      </c>
      <c r="P171" s="346"/>
    </row>
    <row r="172" spans="2:16" ht="14" customHeight="1">
      <c r="B172" s="313" t="s">
        <v>207</v>
      </c>
      <c r="C172" s="372">
        <v>-1380</v>
      </c>
      <c r="D172" s="372">
        <v>-2250</v>
      </c>
      <c r="E172" s="368">
        <v>-70</v>
      </c>
      <c r="F172" s="369">
        <v>0</v>
      </c>
      <c r="G172" s="369">
        <v>0</v>
      </c>
      <c r="H172" s="369">
        <v>0</v>
      </c>
      <c r="I172" s="369">
        <v>0</v>
      </c>
      <c r="J172" s="369">
        <v>0</v>
      </c>
      <c r="K172" s="369">
        <v>0</v>
      </c>
      <c r="L172" s="368">
        <v>-25</v>
      </c>
      <c r="M172" s="368">
        <v>-125</v>
      </c>
      <c r="N172" s="368">
        <v>-5</v>
      </c>
      <c r="O172" s="457">
        <v>-3855</v>
      </c>
      <c r="P172" s="346"/>
    </row>
    <row r="173" spans="2:16" ht="14" customHeight="1">
      <c r="B173" s="313" t="s">
        <v>208</v>
      </c>
      <c r="C173" s="368">
        <v>-500</v>
      </c>
      <c r="D173" s="372">
        <v>-2500</v>
      </c>
      <c r="E173" s="369">
        <v>0</v>
      </c>
      <c r="F173" s="369">
        <v>0</v>
      </c>
      <c r="G173" s="369">
        <v>0</v>
      </c>
      <c r="H173" s="369">
        <v>0</v>
      </c>
      <c r="I173" s="369">
        <v>0</v>
      </c>
      <c r="J173" s="369">
        <v>0</v>
      </c>
      <c r="K173" s="372">
        <v>-2500</v>
      </c>
      <c r="L173" s="372">
        <v>-1300</v>
      </c>
      <c r="M173" s="368">
        <v>-500</v>
      </c>
      <c r="N173" s="369">
        <v>0</v>
      </c>
      <c r="O173" s="457">
        <v>-7300</v>
      </c>
      <c r="P173" s="346"/>
    </row>
    <row r="174" spans="2:16" ht="14" customHeight="1">
      <c r="B174" s="313" t="s">
        <v>209</v>
      </c>
      <c r="C174" s="369">
        <v>0</v>
      </c>
      <c r="D174" s="368">
        <v>-10</v>
      </c>
      <c r="E174" s="369">
        <v>0</v>
      </c>
      <c r="F174" s="369">
        <v>0</v>
      </c>
      <c r="G174" s="368">
        <v>-11</v>
      </c>
      <c r="H174" s="369">
        <v>0</v>
      </c>
      <c r="I174" s="369">
        <v>0</v>
      </c>
      <c r="J174" s="368">
        <v>-11</v>
      </c>
      <c r="K174" s="368">
        <v>-10</v>
      </c>
      <c r="L174" s="368">
        <v>-10</v>
      </c>
      <c r="M174" s="369">
        <v>0</v>
      </c>
      <c r="N174" s="368">
        <v>-10</v>
      </c>
      <c r="O174" s="456">
        <v>-62</v>
      </c>
      <c r="P174" s="346"/>
    </row>
    <row r="175" spans="2:16" ht="14" customHeight="1">
      <c r="B175" s="313" t="s">
        <v>32</v>
      </c>
      <c r="C175" s="369">
        <v>0</v>
      </c>
      <c r="D175" s="369">
        <v>0</v>
      </c>
      <c r="E175" s="369">
        <v>0</v>
      </c>
      <c r="F175" s="369">
        <v>0</v>
      </c>
      <c r="G175" s="369">
        <v>0</v>
      </c>
      <c r="H175" s="369">
        <v>0</v>
      </c>
      <c r="I175" s="368">
        <v>-650</v>
      </c>
      <c r="J175" s="372">
        <v>-2000</v>
      </c>
      <c r="K175" s="368">
        <v>-565</v>
      </c>
      <c r="L175" s="369">
        <v>0</v>
      </c>
      <c r="M175" s="369">
        <v>0</v>
      </c>
      <c r="N175" s="369">
        <v>0</v>
      </c>
      <c r="O175" s="457">
        <v>-3215</v>
      </c>
      <c r="P175" s="346"/>
    </row>
    <row r="176" spans="2:16" ht="14" customHeight="1">
      <c r="B176" s="313" t="s">
        <v>9</v>
      </c>
      <c r="C176" s="368">
        <v>-25</v>
      </c>
      <c r="D176" s="368">
        <v>-25</v>
      </c>
      <c r="E176" s="368">
        <v>-25</v>
      </c>
      <c r="F176" s="368">
        <v>-25</v>
      </c>
      <c r="G176" s="368">
        <v>-25</v>
      </c>
      <c r="H176" s="368">
        <v>-25</v>
      </c>
      <c r="I176" s="368">
        <v>-25</v>
      </c>
      <c r="J176" s="368">
        <v>-25</v>
      </c>
      <c r="K176" s="368">
        <v>-25</v>
      </c>
      <c r="L176" s="368">
        <v>-25</v>
      </c>
      <c r="M176" s="368">
        <v>-25</v>
      </c>
      <c r="N176" s="368">
        <v>-25</v>
      </c>
      <c r="O176" s="456">
        <v>-300</v>
      </c>
      <c r="P176" s="346"/>
    </row>
    <row r="177" spans="2:16" ht="14" customHeight="1">
      <c r="B177" s="455" t="s">
        <v>1112</v>
      </c>
      <c r="C177" s="459">
        <v>4085</v>
      </c>
      <c r="D177" s="459">
        <v>1885</v>
      </c>
      <c r="E177" s="459">
        <v>1890</v>
      </c>
      <c r="F177" s="459">
        <v>9225</v>
      </c>
      <c r="G177" s="459">
        <v>2400</v>
      </c>
      <c r="H177" s="459">
        <v>1845</v>
      </c>
      <c r="I177" s="459">
        <v>4025</v>
      </c>
      <c r="J177" s="459">
        <v>2525</v>
      </c>
      <c r="K177" s="459">
        <v>1880</v>
      </c>
      <c r="L177" s="459">
        <v>3980</v>
      </c>
      <c r="M177" s="459">
        <v>1800</v>
      </c>
      <c r="N177" s="459">
        <v>1790</v>
      </c>
      <c r="O177" s="459">
        <v>37330</v>
      </c>
      <c r="P177" s="346"/>
    </row>
    <row r="178" spans="2:16" ht="14" customHeight="1">
      <c r="B178" s="455" t="s">
        <v>67</v>
      </c>
      <c r="C178" s="457">
        <v>-4045</v>
      </c>
      <c r="D178" s="457">
        <v>-6470</v>
      </c>
      <c r="E178" s="457">
        <v>-1880</v>
      </c>
      <c r="F178" s="457">
        <v>-2155</v>
      </c>
      <c r="G178" s="457">
        <v>-2451</v>
      </c>
      <c r="H178" s="457">
        <v>-2065</v>
      </c>
      <c r="I178" s="457">
        <v>-3040</v>
      </c>
      <c r="J178" s="457">
        <v>-4016</v>
      </c>
      <c r="K178" s="457">
        <v>-4700</v>
      </c>
      <c r="L178" s="457">
        <v>-3545</v>
      </c>
      <c r="M178" s="457">
        <v>-2165</v>
      </c>
      <c r="N178" s="457">
        <v>-2140</v>
      </c>
      <c r="O178" s="457">
        <v>-38672</v>
      </c>
      <c r="P178" s="346"/>
    </row>
    <row r="179" spans="2:16" ht="14" customHeight="1">
      <c r="B179" s="455" t="s">
        <v>93</v>
      </c>
      <c r="C179" s="458">
        <v>40</v>
      </c>
      <c r="D179" s="457">
        <v>-4585</v>
      </c>
      <c r="E179" s="458">
        <v>10</v>
      </c>
      <c r="F179" s="459">
        <v>7070</v>
      </c>
      <c r="G179" s="456">
        <v>-51</v>
      </c>
      <c r="H179" s="456">
        <v>-220</v>
      </c>
      <c r="I179" s="458">
        <v>985</v>
      </c>
      <c r="J179" s="457">
        <v>-1491</v>
      </c>
      <c r="K179" s="457">
        <v>-2820</v>
      </c>
      <c r="L179" s="458">
        <v>435</v>
      </c>
      <c r="M179" s="456">
        <v>-365</v>
      </c>
      <c r="N179" s="456">
        <v>-350</v>
      </c>
      <c r="O179" s="457">
        <v>-1342</v>
      </c>
      <c r="P179" s="346"/>
    </row>
  </sheetData>
  <mergeCells count="4">
    <mergeCell ref="O98:O99"/>
    <mergeCell ref="O141:O142"/>
    <mergeCell ref="B98:B99"/>
    <mergeCell ref="B141:B142"/>
  </mergeCells>
  <pageMargins left="0.7" right="0.7" top="0.75" bottom="0.75" header="0.51180555555555496" footer="0.51180555555555496"/>
  <pageSetup paperSize="9" firstPageNumber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Dashboard</vt:lpstr>
      <vt:lpstr>Info</vt:lpstr>
      <vt:lpstr>Historico</vt:lpstr>
      <vt:lpstr>WIP</vt:lpstr>
      <vt:lpstr>Principal</vt:lpstr>
      <vt:lpstr>Graficos</vt:lpstr>
      <vt:lpstr>Ordenes</vt:lpstr>
      <vt:lpstr>Inversiones</vt:lpstr>
      <vt:lpstr>Dividendo</vt:lpstr>
      <vt:lpstr>CandidatosInv</vt:lpstr>
      <vt:lpstr>VidaLaboral</vt:lpstr>
      <vt:lpstr>Jubilacion</vt:lpstr>
      <vt:lpstr>IngGas10-20</vt:lpstr>
      <vt:lpstr>Análisis</vt:lpstr>
      <vt:lpstr>Nomina</vt:lpstr>
      <vt:lpstr>GrandesCompras</vt:lpstr>
      <vt:lpstr>LaCasaFutura</vt:lpstr>
      <vt:lpstr>Borrador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Toni AFolgado</cp:lastModifiedBy>
  <cp:revision>1</cp:revision>
  <dcterms:created xsi:type="dcterms:W3CDTF">1996-11-27T10:00:04Z</dcterms:created>
  <dcterms:modified xsi:type="dcterms:W3CDTF">2026-05-01T16:07:22Z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